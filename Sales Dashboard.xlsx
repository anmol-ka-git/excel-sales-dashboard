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showPivotChartFilter="1" defaultThemeVersion="124226"/>
  <bookViews>
    <workbookView xWindow="480" yWindow="84" windowWidth="11412" windowHeight="2904" activeTab="6"/>
  </bookViews>
  <sheets>
    <sheet name="Total Sales" sheetId="4" r:id="rId1"/>
    <sheet name="Region-wise Sales" sheetId="7" r:id="rId2"/>
    <sheet name="Sales by Category" sheetId="8" r:id="rId3"/>
    <sheet name="Monthly Sales Trend" sheetId="9" r:id="rId4"/>
    <sheet name="Sales by Sub-Category" sheetId="10" r:id="rId5"/>
    <sheet name="DataSet" sheetId="1" r:id="rId6"/>
    <sheet name="Dashboard" sheetId="12" r:id="rId7"/>
  </sheets>
  <calcPr calcId="124519"/>
  <pivotCaches>
    <pivotCache cacheId="9" r:id="rId8"/>
  </pivotCaches>
</workbook>
</file>

<file path=xl/calcChain.xml><?xml version="1.0" encoding="utf-8"?>
<calcChain xmlns="http://schemas.openxmlformats.org/spreadsheetml/2006/main">
  <c r="J200" i="1"/>
  <c r="J150"/>
  <c r="J122"/>
  <c r="J61"/>
  <c r="J160"/>
  <c r="J38"/>
  <c r="J197"/>
  <c r="J132"/>
  <c r="J169"/>
  <c r="J177"/>
  <c r="J19"/>
  <c r="J84"/>
  <c r="J33"/>
  <c r="J165"/>
  <c r="J63"/>
  <c r="J10"/>
  <c r="J23"/>
  <c r="J55"/>
  <c r="J83"/>
  <c r="J152"/>
  <c r="J25"/>
  <c r="J166"/>
  <c r="J67"/>
  <c r="J161"/>
  <c r="J26"/>
  <c r="J69"/>
  <c r="J60"/>
  <c r="J141"/>
  <c r="J119"/>
  <c r="J27"/>
  <c r="J72"/>
  <c r="J29"/>
  <c r="J121"/>
  <c r="J199"/>
  <c r="J59"/>
  <c r="J156"/>
  <c r="J75"/>
  <c r="J82"/>
  <c r="J49"/>
  <c r="J37"/>
  <c r="J80"/>
  <c r="J66"/>
  <c r="J127"/>
  <c r="J163"/>
  <c r="J57"/>
  <c r="J54"/>
  <c r="J144"/>
  <c r="J129"/>
  <c r="J3"/>
  <c r="J77"/>
  <c r="J18"/>
  <c r="J48"/>
  <c r="J149"/>
  <c r="J131"/>
  <c r="J110"/>
  <c r="J90"/>
  <c r="J143"/>
  <c r="J74"/>
  <c r="J181"/>
  <c r="J56"/>
  <c r="J113"/>
  <c r="J145"/>
  <c r="J42"/>
  <c r="J97"/>
  <c r="J146"/>
  <c r="J136"/>
  <c r="J158"/>
  <c r="J34"/>
  <c r="J118"/>
  <c r="J170"/>
  <c r="J17"/>
  <c r="J44"/>
  <c r="J78"/>
  <c r="J35"/>
  <c r="J43"/>
  <c r="J134"/>
  <c r="J164"/>
  <c r="J174"/>
  <c r="J28"/>
  <c r="J46"/>
  <c r="J135"/>
  <c r="J98"/>
  <c r="J102"/>
  <c r="J154"/>
  <c r="J184"/>
  <c r="J193"/>
  <c r="J126"/>
  <c r="J115"/>
  <c r="J133"/>
  <c r="J196"/>
  <c r="J175"/>
  <c r="J173"/>
  <c r="J85"/>
  <c r="J104"/>
  <c r="J70"/>
  <c r="J91"/>
  <c r="J142"/>
  <c r="J32"/>
  <c r="J116"/>
  <c r="J51"/>
  <c r="J137"/>
  <c r="J107"/>
  <c r="J5"/>
  <c r="J155"/>
  <c r="J183"/>
  <c r="J147"/>
  <c r="J22"/>
  <c r="J189"/>
  <c r="J198"/>
  <c r="J12"/>
  <c r="J14"/>
  <c r="J159"/>
  <c r="J96"/>
  <c r="J192"/>
  <c r="J138"/>
  <c r="J105"/>
  <c r="J108"/>
  <c r="J99"/>
  <c r="J117"/>
  <c r="J162"/>
  <c r="J171"/>
  <c r="J93"/>
  <c r="J15"/>
  <c r="J24"/>
  <c r="J58"/>
  <c r="J195"/>
  <c r="J16"/>
  <c r="J64"/>
  <c r="J21"/>
  <c r="J140"/>
  <c r="J50"/>
  <c r="J36"/>
  <c r="J191"/>
  <c r="J100"/>
  <c r="J45"/>
  <c r="J111"/>
  <c r="J157"/>
  <c r="J180"/>
  <c r="J7"/>
  <c r="J187"/>
  <c r="J106"/>
  <c r="J188"/>
  <c r="J153"/>
  <c r="J9"/>
  <c r="J20"/>
  <c r="J39"/>
  <c r="J185"/>
  <c r="J148"/>
  <c r="J109"/>
  <c r="J11"/>
  <c r="J168"/>
  <c r="J182"/>
  <c r="J179"/>
  <c r="J151"/>
  <c r="J120"/>
  <c r="J139"/>
  <c r="J86"/>
  <c r="J190"/>
  <c r="J47"/>
  <c r="J52"/>
  <c r="J68"/>
  <c r="J31"/>
  <c r="J88"/>
  <c r="J178"/>
  <c r="J186"/>
  <c r="J92"/>
  <c r="J53"/>
  <c r="J6"/>
  <c r="J95"/>
  <c r="J194"/>
  <c r="J81"/>
  <c r="J30"/>
  <c r="J114"/>
  <c r="J87"/>
  <c r="J4"/>
  <c r="J8"/>
  <c r="J125"/>
  <c r="J40"/>
  <c r="J76"/>
  <c r="J89"/>
  <c r="J172"/>
  <c r="J62"/>
  <c r="J124"/>
  <c r="J167"/>
  <c r="J2"/>
  <c r="J103"/>
  <c r="J128"/>
  <c r="J65"/>
  <c r="J176"/>
  <c r="J123"/>
  <c r="J112"/>
  <c r="J94"/>
  <c r="J101"/>
  <c r="J71"/>
  <c r="J79"/>
  <c r="J130"/>
  <c r="J13"/>
  <c r="J73"/>
  <c r="I200"/>
  <c r="I150"/>
  <c r="I122"/>
  <c r="I61"/>
  <c r="I160"/>
  <c r="I38"/>
  <c r="I197"/>
  <c r="I132"/>
  <c r="I169"/>
  <c r="I177"/>
  <c r="I19"/>
  <c r="I84"/>
  <c r="I33"/>
  <c r="I165"/>
  <c r="I63"/>
  <c r="I10"/>
  <c r="I23"/>
  <c r="I55"/>
  <c r="I83"/>
  <c r="I152"/>
  <c r="I25"/>
  <c r="I166"/>
  <c r="I67"/>
  <c r="I161"/>
  <c r="I26"/>
  <c r="I69"/>
  <c r="I60"/>
  <c r="I141"/>
  <c r="I119"/>
  <c r="I27"/>
  <c r="I72"/>
  <c r="I29"/>
  <c r="I121"/>
  <c r="I199"/>
  <c r="I59"/>
  <c r="I156"/>
  <c r="I75"/>
  <c r="I82"/>
  <c r="I49"/>
  <c r="I37"/>
  <c r="I80"/>
  <c r="I66"/>
  <c r="I127"/>
  <c r="I163"/>
  <c r="I57"/>
  <c r="I54"/>
  <c r="I144"/>
  <c r="I129"/>
  <c r="I3"/>
  <c r="I77"/>
  <c r="I18"/>
  <c r="I48"/>
  <c r="I149"/>
  <c r="I131"/>
  <c r="I110"/>
  <c r="I90"/>
  <c r="I143"/>
  <c r="I74"/>
  <c r="I181"/>
  <c r="I56"/>
  <c r="I113"/>
  <c r="I145"/>
  <c r="I42"/>
  <c r="I97"/>
  <c r="I146"/>
  <c r="I136"/>
  <c r="I158"/>
  <c r="I34"/>
  <c r="I118"/>
  <c r="I170"/>
  <c r="I17"/>
  <c r="I44"/>
  <c r="I78"/>
  <c r="I35"/>
  <c r="I43"/>
  <c r="I134"/>
  <c r="I164"/>
  <c r="I174"/>
  <c r="I28"/>
  <c r="I46"/>
  <c r="I135"/>
  <c r="I98"/>
  <c r="I102"/>
  <c r="I154"/>
  <c r="I184"/>
  <c r="I193"/>
  <c r="I126"/>
  <c r="I115"/>
  <c r="I133"/>
  <c r="I196"/>
  <c r="I175"/>
  <c r="I173"/>
  <c r="I85"/>
  <c r="I104"/>
  <c r="I70"/>
  <c r="I91"/>
  <c r="I142"/>
  <c r="I32"/>
  <c r="I116"/>
  <c r="I51"/>
  <c r="I137"/>
  <c r="I107"/>
  <c r="I5"/>
  <c r="I155"/>
  <c r="I183"/>
  <c r="I147"/>
  <c r="I22"/>
  <c r="I189"/>
  <c r="I198"/>
  <c r="I12"/>
  <c r="I14"/>
  <c r="I159"/>
  <c r="I96"/>
  <c r="I192"/>
  <c r="I138"/>
  <c r="I105"/>
  <c r="I108"/>
  <c r="I99"/>
  <c r="I117"/>
  <c r="I162"/>
  <c r="I171"/>
  <c r="I93"/>
  <c r="I15"/>
  <c r="I24"/>
  <c r="I58"/>
  <c r="I195"/>
  <c r="I16"/>
  <c r="I64"/>
  <c r="I21"/>
  <c r="I140"/>
  <c r="I50"/>
  <c r="I36"/>
  <c r="I191"/>
  <c r="I100"/>
  <c r="I45"/>
  <c r="I111"/>
  <c r="I157"/>
  <c r="I180"/>
  <c r="I7"/>
  <c r="I187"/>
  <c r="I106"/>
  <c r="I188"/>
  <c r="I153"/>
  <c r="I9"/>
  <c r="I20"/>
  <c r="I39"/>
  <c r="I185"/>
  <c r="I148"/>
  <c r="I109"/>
  <c r="I11"/>
  <c r="I168"/>
  <c r="I182"/>
  <c r="I179"/>
  <c r="I151"/>
  <c r="I120"/>
  <c r="I139"/>
  <c r="I86"/>
  <c r="I190"/>
  <c r="I47"/>
  <c r="I52"/>
  <c r="I68"/>
  <c r="I31"/>
  <c r="I88"/>
  <c r="I178"/>
  <c r="I186"/>
  <c r="I92"/>
  <c r="I53"/>
  <c r="I6"/>
  <c r="I95"/>
  <c r="I194"/>
  <c r="I81"/>
  <c r="I30"/>
  <c r="I114"/>
  <c r="I87"/>
  <c r="I4"/>
  <c r="I8"/>
  <c r="I125"/>
  <c r="I40"/>
  <c r="I76"/>
  <c r="I89"/>
  <c r="I172"/>
  <c r="I62"/>
  <c r="I124"/>
  <c r="I167"/>
  <c r="I2"/>
  <c r="I103"/>
  <c r="I128"/>
  <c r="I65"/>
  <c r="I176"/>
  <c r="I123"/>
  <c r="I112"/>
  <c r="I94"/>
  <c r="I101"/>
  <c r="I71"/>
  <c r="I79"/>
  <c r="I130"/>
  <c r="I13"/>
  <c r="I73"/>
  <c r="I41"/>
  <c r="H200"/>
  <c r="H150"/>
  <c r="H122"/>
  <c r="H61"/>
  <c r="H160"/>
  <c r="H38"/>
  <c r="H197"/>
  <c r="H132"/>
  <c r="H169"/>
  <c r="H177"/>
  <c r="H19"/>
  <c r="H84"/>
  <c r="H33"/>
  <c r="H165"/>
  <c r="H63"/>
  <c r="H10"/>
  <c r="H23"/>
  <c r="H55"/>
  <c r="H83"/>
  <c r="H152"/>
  <c r="H25"/>
  <c r="H166"/>
  <c r="H67"/>
  <c r="H161"/>
  <c r="H26"/>
  <c r="H69"/>
  <c r="H60"/>
  <c r="H141"/>
  <c r="H119"/>
  <c r="H27"/>
  <c r="H72"/>
  <c r="H29"/>
  <c r="H121"/>
  <c r="H199"/>
  <c r="H59"/>
  <c r="H156"/>
  <c r="H75"/>
  <c r="H82"/>
  <c r="H49"/>
  <c r="H37"/>
  <c r="H80"/>
  <c r="H66"/>
  <c r="H127"/>
  <c r="H163"/>
  <c r="H57"/>
  <c r="H54"/>
  <c r="H144"/>
  <c r="H129"/>
  <c r="H3"/>
  <c r="H77"/>
  <c r="H18"/>
  <c r="H48"/>
  <c r="H149"/>
  <c r="H131"/>
  <c r="H110"/>
  <c r="H90"/>
  <c r="H143"/>
  <c r="H74"/>
  <c r="H181"/>
  <c r="H56"/>
  <c r="H113"/>
  <c r="H145"/>
  <c r="H42"/>
  <c r="H97"/>
  <c r="H146"/>
  <c r="H136"/>
  <c r="H158"/>
  <c r="H34"/>
  <c r="H118"/>
  <c r="H170"/>
  <c r="H17"/>
  <c r="H44"/>
  <c r="H78"/>
  <c r="H35"/>
  <c r="H43"/>
  <c r="H134"/>
  <c r="H164"/>
  <c r="H174"/>
  <c r="H28"/>
  <c r="H46"/>
  <c r="H135"/>
  <c r="H98"/>
  <c r="H102"/>
  <c r="H154"/>
  <c r="H184"/>
  <c r="H193"/>
  <c r="H126"/>
  <c r="H115"/>
  <c r="H133"/>
  <c r="H196"/>
  <c r="H175"/>
  <c r="H173"/>
  <c r="H85"/>
  <c r="H104"/>
  <c r="H70"/>
  <c r="H91"/>
  <c r="H142"/>
  <c r="H32"/>
  <c r="H116"/>
  <c r="H51"/>
  <c r="H137"/>
  <c r="H107"/>
  <c r="H5"/>
  <c r="H155"/>
  <c r="H183"/>
  <c r="H147"/>
  <c r="H22"/>
  <c r="H189"/>
  <c r="H198"/>
  <c r="H12"/>
  <c r="H14"/>
  <c r="H159"/>
  <c r="H96"/>
  <c r="H192"/>
  <c r="H138"/>
  <c r="H105"/>
  <c r="H108"/>
  <c r="H99"/>
  <c r="H117"/>
  <c r="H162"/>
  <c r="H171"/>
  <c r="H93"/>
  <c r="H15"/>
  <c r="H24"/>
  <c r="H58"/>
  <c r="H195"/>
  <c r="H16"/>
  <c r="H64"/>
  <c r="H21"/>
  <c r="H140"/>
  <c r="H50"/>
  <c r="H36"/>
  <c r="H191"/>
  <c r="H100"/>
  <c r="H45"/>
  <c r="H111"/>
  <c r="H157"/>
  <c r="H180"/>
  <c r="H7"/>
  <c r="H187"/>
  <c r="H106"/>
  <c r="H188"/>
  <c r="H153"/>
  <c r="H9"/>
  <c r="H20"/>
  <c r="H39"/>
  <c r="H185"/>
  <c r="H148"/>
  <c r="H109"/>
  <c r="H11"/>
  <c r="H168"/>
  <c r="H182"/>
  <c r="H179"/>
  <c r="H151"/>
  <c r="H120"/>
  <c r="H139"/>
  <c r="H86"/>
  <c r="H190"/>
  <c r="H47"/>
  <c r="H52"/>
  <c r="H68"/>
  <c r="H31"/>
  <c r="H88"/>
  <c r="H178"/>
  <c r="H186"/>
  <c r="H92"/>
  <c r="H53"/>
  <c r="H6"/>
  <c r="H95"/>
  <c r="H194"/>
  <c r="H81"/>
  <c r="H30"/>
  <c r="H114"/>
  <c r="H87"/>
  <c r="H4"/>
  <c r="H8"/>
  <c r="H125"/>
  <c r="H40"/>
  <c r="H76"/>
  <c r="H89"/>
  <c r="H172"/>
  <c r="H62"/>
  <c r="H124"/>
  <c r="H167"/>
  <c r="H2"/>
  <c r="H103"/>
  <c r="H128"/>
  <c r="H65"/>
  <c r="H176"/>
  <c r="H123"/>
  <c r="H112"/>
  <c r="H94"/>
  <c r="H101"/>
  <c r="H71"/>
  <c r="H79"/>
  <c r="H130"/>
  <c r="H13"/>
  <c r="H73"/>
  <c r="H41"/>
  <c r="J41"/>
</calcChain>
</file>

<file path=xl/sharedStrings.xml><?xml version="1.0" encoding="utf-8"?>
<sst xmlns="http://schemas.openxmlformats.org/spreadsheetml/2006/main" count="849" uniqueCount="92">
  <si>
    <t>Order Date</t>
  </si>
  <si>
    <t>Sales</t>
  </si>
  <si>
    <t>Profit</t>
  </si>
  <si>
    <t>Category</t>
  </si>
  <si>
    <t>Sub-Category</t>
  </si>
  <si>
    <t>Region</t>
  </si>
  <si>
    <t>Customer Name</t>
  </si>
  <si>
    <t>Technology</t>
  </si>
  <si>
    <t>Storage</t>
  </si>
  <si>
    <t>North</t>
  </si>
  <si>
    <t>Customer 20</t>
  </si>
  <si>
    <t>Furniture</t>
  </si>
  <si>
    <t>Binders</t>
  </si>
  <si>
    <t>West</t>
  </si>
  <si>
    <t>Customer 36</t>
  </si>
  <si>
    <t>Office Supplies</t>
  </si>
  <si>
    <t>Customer 9</t>
  </si>
  <si>
    <t>Chairs</t>
  </si>
  <si>
    <t>Customer 19</t>
  </si>
  <si>
    <t>Phones</t>
  </si>
  <si>
    <t>South</t>
  </si>
  <si>
    <t>Customer 23</t>
  </si>
  <si>
    <t>Accessories</t>
  </si>
  <si>
    <t>Customer 32</t>
  </si>
  <si>
    <t>East</t>
  </si>
  <si>
    <t>Customer 12</t>
  </si>
  <si>
    <t>Customer 34</t>
  </si>
  <si>
    <t>Customer 21</t>
  </si>
  <si>
    <t>Tables</t>
  </si>
  <si>
    <t>Customer 10</t>
  </si>
  <si>
    <t>Customer 25</t>
  </si>
  <si>
    <t>Customer 17</t>
  </si>
  <si>
    <t>Customer 16</t>
  </si>
  <si>
    <t>Customer 2</t>
  </si>
  <si>
    <t>Customer 1</t>
  </si>
  <si>
    <t>Customer 40</t>
  </si>
  <si>
    <t>Customer 33</t>
  </si>
  <si>
    <t>Customer 38</t>
  </si>
  <si>
    <t>Customer 39</t>
  </si>
  <si>
    <t>Customer 6</t>
  </si>
  <si>
    <t>Customer 5</t>
  </si>
  <si>
    <t>Customer 50</t>
  </si>
  <si>
    <t>Customer 41</t>
  </si>
  <si>
    <t>Customer 30</t>
  </si>
  <si>
    <t>Customer 7</t>
  </si>
  <si>
    <t>Customer 11</t>
  </si>
  <si>
    <t>Customer 44</t>
  </si>
  <si>
    <t>Customer 3</t>
  </si>
  <si>
    <t>Customer 8</t>
  </si>
  <si>
    <t>Customer 46</t>
  </si>
  <si>
    <t>Customer 37</t>
  </si>
  <si>
    <t>Customer 15</t>
  </si>
  <si>
    <t>Customer 49</t>
  </si>
  <si>
    <t>Customer 14</t>
  </si>
  <si>
    <t>Customer 42</t>
  </si>
  <si>
    <t>Customer 22</t>
  </si>
  <si>
    <t>Customer 24</t>
  </si>
  <si>
    <t>Customer 28</t>
  </si>
  <si>
    <t>Customer 29</t>
  </si>
  <si>
    <t>Customer 13</t>
  </si>
  <si>
    <t>Customer 4</t>
  </si>
  <si>
    <t>Customer 43</t>
  </si>
  <si>
    <t>Customer 27</t>
  </si>
  <si>
    <t>Customer 18</t>
  </si>
  <si>
    <t>Customer 45</t>
  </si>
  <si>
    <t>Customer 26</t>
  </si>
  <si>
    <t>Customer 47</t>
  </si>
  <si>
    <t>Customer 35</t>
  </si>
  <si>
    <t>Customer 48</t>
  </si>
  <si>
    <t>Customer 31</t>
  </si>
  <si>
    <t>Month</t>
  </si>
  <si>
    <t>Month Number</t>
  </si>
  <si>
    <t>Year</t>
  </si>
  <si>
    <t>Jun</t>
  </si>
  <si>
    <t>Mar</t>
  </si>
  <si>
    <t>Dec</t>
  </si>
  <si>
    <t>Apr</t>
  </si>
  <si>
    <t>May</t>
  </si>
  <si>
    <t>Nov</t>
  </si>
  <si>
    <t>Jan</t>
  </si>
  <si>
    <t>Sep</t>
  </si>
  <si>
    <t>Jul</t>
  </si>
  <si>
    <t>Aug</t>
  </si>
  <si>
    <t>Oct</t>
  </si>
  <si>
    <t>Feb</t>
  </si>
  <si>
    <t>Total Sales</t>
  </si>
  <si>
    <t>Row Labels</t>
  </si>
  <si>
    <t>Grand Total</t>
  </si>
  <si>
    <t>South region has highest sales performance</t>
  </si>
  <si>
    <t>Furniture category generates maximum revenue</t>
  </si>
  <si>
    <t>Sales peak during first few months of the year</t>
  </si>
  <si>
    <t>Storage sub- category generates maximum revenue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</si>
</sst>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3">
    <dxf>
      <numFmt numFmtId="164" formatCode="&quot;₹&quot;\ #,##0.00"/>
    </dxf>
    <dxf>
      <numFmt numFmtId="164" formatCode="&quot;₹&quot;\ #,##0.00"/>
    </dxf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[Project1.xlsx]Sales by Sub-Category!PivotTable5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 by Sub- Category</a:t>
            </a:r>
            <a:r>
              <a:rPr lang="en-US" baseline="0"/>
              <a:t> </a:t>
            </a:r>
            <a:r>
              <a:rPr lang="en-US"/>
              <a:t>Total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'Sales by Sub-Category'!$B$3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Sub-Category'!$A$4:$A$10</c:f>
              <c:strCache>
                <c:ptCount val="6"/>
                <c:pt idx="0">
                  <c:v>Accessories</c:v>
                </c:pt>
                <c:pt idx="1">
                  <c:v>Binders</c:v>
                </c:pt>
                <c:pt idx="2">
                  <c:v>Chairs</c:v>
                </c:pt>
                <c:pt idx="3">
                  <c:v>Phones</c:v>
                </c:pt>
                <c:pt idx="4">
                  <c:v>Storage</c:v>
                </c:pt>
                <c:pt idx="5">
                  <c:v>Tables</c:v>
                </c:pt>
              </c:strCache>
            </c:strRef>
          </c:cat>
          <c:val>
            <c:numRef>
              <c:f>'Sales by Sub-Category'!$B$4:$B$10</c:f>
              <c:numCache>
                <c:formatCode>General</c:formatCode>
                <c:ptCount val="6"/>
                <c:pt idx="0">
                  <c:v>9555</c:v>
                </c:pt>
                <c:pt idx="1">
                  <c:v>8821</c:v>
                </c:pt>
                <c:pt idx="2">
                  <c:v>9270</c:v>
                </c:pt>
                <c:pt idx="3">
                  <c:v>9045</c:v>
                </c:pt>
                <c:pt idx="4">
                  <c:v>11735</c:v>
                </c:pt>
                <c:pt idx="5">
                  <c:v>9513</c:v>
                </c:pt>
              </c:numCache>
            </c:numRef>
          </c:val>
        </c:ser>
        <c:shape val="cylinder"/>
        <c:axId val="151685376"/>
        <c:axId val="151947520"/>
        <c:axId val="0"/>
      </c:bar3DChart>
      <c:catAx>
        <c:axId val="151685376"/>
        <c:scaling>
          <c:orientation val="minMax"/>
        </c:scaling>
        <c:axPos val="b"/>
        <c:tickLblPos val="nextTo"/>
        <c:crossAx val="151947520"/>
        <c:crosses val="autoZero"/>
        <c:auto val="1"/>
        <c:lblAlgn val="ctr"/>
        <c:lblOffset val="100"/>
      </c:catAx>
      <c:valAx>
        <c:axId val="151947520"/>
        <c:scaling>
          <c:orientation val="minMax"/>
        </c:scaling>
        <c:axPos val="l"/>
        <c:majorGridlines/>
        <c:numFmt formatCode="General" sourceLinked="1"/>
        <c:tickLblPos val="nextTo"/>
        <c:crossAx val="1516853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[Project1.xlsx]Monthly Sales Trend!PivotTable4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sales total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cked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4362</c:v>
                </c:pt>
                <c:pt idx="1">
                  <c:v>3276</c:v>
                </c:pt>
                <c:pt idx="2">
                  <c:v>5511</c:v>
                </c:pt>
                <c:pt idx="3">
                  <c:v>7607</c:v>
                </c:pt>
                <c:pt idx="4">
                  <c:v>4819</c:v>
                </c:pt>
                <c:pt idx="5">
                  <c:v>3798</c:v>
                </c:pt>
                <c:pt idx="6">
                  <c:v>3629</c:v>
                </c:pt>
                <c:pt idx="7">
                  <c:v>6979</c:v>
                </c:pt>
                <c:pt idx="8">
                  <c:v>5561</c:v>
                </c:pt>
                <c:pt idx="9">
                  <c:v>2760</c:v>
                </c:pt>
                <c:pt idx="10">
                  <c:v>4928</c:v>
                </c:pt>
                <c:pt idx="11">
                  <c:v>4709</c:v>
                </c:pt>
              </c:numCache>
            </c:numRef>
          </c:val>
        </c:ser>
        <c:marker val="1"/>
        <c:axId val="151588864"/>
        <c:axId val="151590784"/>
      </c:lineChart>
      <c:catAx>
        <c:axId val="151588864"/>
        <c:scaling>
          <c:orientation val="minMax"/>
        </c:scaling>
        <c:axPos val="b"/>
        <c:tickLblPos val="nextTo"/>
        <c:crossAx val="151590784"/>
        <c:crosses val="autoZero"/>
        <c:auto val="1"/>
        <c:lblAlgn val="ctr"/>
        <c:lblOffset val="100"/>
      </c:catAx>
      <c:valAx>
        <c:axId val="151590784"/>
        <c:scaling>
          <c:orientation val="minMax"/>
        </c:scaling>
        <c:axPos val="l"/>
        <c:majorGridlines/>
        <c:numFmt formatCode="General" sourceLinked="1"/>
        <c:tickLblPos val="nextTo"/>
        <c:crossAx val="1515888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[Project1.xlsx]Sales by Category!PivotTable3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 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21159</c:v>
                </c:pt>
                <c:pt idx="1">
                  <c:v>16476</c:v>
                </c:pt>
                <c:pt idx="2">
                  <c:v>20304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[Project1.xlsx]Region-wise Sales!PivotTable2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Region-wise sales total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stacked"/>
        <c:ser>
          <c:idx val="0"/>
          <c:order val="0"/>
          <c:tx>
            <c:strRef>
              <c:f>'Region-wise Sales'!$B$3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'Region-wise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 Sales'!$B$4:$B$8</c:f>
              <c:numCache>
                <c:formatCode>General</c:formatCode>
                <c:ptCount val="4"/>
                <c:pt idx="0">
                  <c:v>11811</c:v>
                </c:pt>
                <c:pt idx="1">
                  <c:v>15425</c:v>
                </c:pt>
                <c:pt idx="2">
                  <c:v>16086</c:v>
                </c:pt>
                <c:pt idx="3">
                  <c:v>14617</c:v>
                </c:pt>
              </c:numCache>
            </c:numRef>
          </c:val>
        </c:ser>
        <c:overlap val="100"/>
        <c:axId val="76075776"/>
        <c:axId val="76077312"/>
      </c:barChart>
      <c:catAx>
        <c:axId val="76075776"/>
        <c:scaling>
          <c:orientation val="minMax"/>
        </c:scaling>
        <c:axPos val="l"/>
        <c:tickLblPos val="nextTo"/>
        <c:crossAx val="76077312"/>
        <c:crosses val="autoZero"/>
        <c:auto val="1"/>
        <c:lblAlgn val="ctr"/>
        <c:lblOffset val="100"/>
      </c:catAx>
      <c:valAx>
        <c:axId val="76077312"/>
        <c:scaling>
          <c:orientation val="minMax"/>
        </c:scaling>
        <c:axPos val="b"/>
        <c:majorGridlines/>
        <c:numFmt formatCode="General" sourceLinked="1"/>
        <c:tickLblPos val="nextTo"/>
        <c:crossAx val="76075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55</xdr:row>
      <xdr:rowOff>114300</xdr:rowOff>
    </xdr:from>
    <xdr:to>
      <xdr:col>8</xdr:col>
      <xdr:colOff>7620</xdr:colOff>
      <xdr:row>70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274320</xdr:colOff>
      <xdr:row>38</xdr:row>
      <xdr:rowOff>175260</xdr:rowOff>
    </xdr:from>
    <xdr:to>
      <xdr:col>7</xdr:col>
      <xdr:colOff>579120</xdr:colOff>
      <xdr:row>53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350520</xdr:colOff>
      <xdr:row>21</xdr:row>
      <xdr:rowOff>83820</xdr:rowOff>
    </xdr:from>
    <xdr:to>
      <xdr:col>7</xdr:col>
      <xdr:colOff>518160</xdr:colOff>
      <xdr:row>36</xdr:row>
      <xdr:rowOff>83820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327660</xdr:colOff>
      <xdr:row>4</xdr:row>
      <xdr:rowOff>22860</xdr:rowOff>
    </xdr:from>
    <xdr:to>
      <xdr:col>7</xdr:col>
      <xdr:colOff>495300</xdr:colOff>
      <xdr:row>19</xdr:row>
      <xdr:rowOff>22860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22.538634606484" createdVersion="3" refreshedVersion="3" minRefreshableVersion="3" recordCount="199">
  <cacheSource type="worksheet">
    <worksheetSource name="Table1"/>
  </cacheSource>
  <cacheFields count="10">
    <cacheField name="Order Date" numFmtId="14">
      <sharedItems containsSemiMixedTypes="0" containsNonDate="0" containsDate="1" containsString="0" minDate="2023-01-01T00:00:00" maxDate="2023-12-28T00:00:00"/>
    </cacheField>
    <cacheField name="Sales" numFmtId="0">
      <sharedItems containsSemiMixedTypes="0" containsString="0" containsNumber="1" containsInteger="1" minValue="100" maxValue="499"/>
    </cacheField>
    <cacheField name="Profit" numFmtId="0">
      <sharedItems containsSemiMixedTypes="0" containsString="0" containsNumber="1" minValue="11.9" maxValue="142.38999999999999"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 count="6">
        <s v="Storage"/>
        <s v="Binders"/>
        <s v="Chairs"/>
        <s v="Phones"/>
        <s v="Accessories"/>
        <s v="Tables"/>
      </sharedItems>
    </cacheField>
    <cacheField name="Region" numFmtId="0">
      <sharedItems count="4">
        <s v="North"/>
        <s v="West"/>
        <s v="South"/>
        <s v="East"/>
      </sharedItems>
    </cacheField>
    <cacheField name="Customer Name" numFmtId="0">
      <sharedItems/>
    </cacheField>
    <cacheField name="Month" numFmtId="0">
      <sharedItems count="12">
        <s v="Jun"/>
        <s v="Mar"/>
        <s v="Dec"/>
        <s v="Apr"/>
        <s v="May"/>
        <s v="Nov"/>
        <s v="Jan"/>
        <s v="Sep"/>
        <s v="Jul"/>
        <s v="Aug"/>
        <s v="Oct"/>
        <s v="Feb"/>
      </sharedItems>
    </cacheField>
    <cacheField name="Month Number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d v="2023-06-19T00:00:00"/>
    <n v="415"/>
    <n v="116.2"/>
    <x v="0"/>
    <x v="0"/>
    <x v="0"/>
    <s v="Customer 20"/>
    <x v="0"/>
    <n v="6"/>
    <n v="2023"/>
  </r>
  <r>
    <d v="2023-03-10T00:00:00"/>
    <n v="100"/>
    <n v="27"/>
    <x v="1"/>
    <x v="1"/>
    <x v="1"/>
    <s v="Customer 36"/>
    <x v="1"/>
    <n v="3"/>
    <n v="2023"/>
  </r>
  <r>
    <d v="2023-12-03T00:00:00"/>
    <n v="186"/>
    <n v="20.46"/>
    <x v="2"/>
    <x v="1"/>
    <x v="1"/>
    <s v="Customer 9"/>
    <x v="2"/>
    <n v="12"/>
    <n v="2023"/>
  </r>
  <r>
    <d v="2023-04-22T00:00:00"/>
    <n v="236"/>
    <n v="35.4"/>
    <x v="1"/>
    <x v="2"/>
    <x v="1"/>
    <s v="Customer 19"/>
    <x v="3"/>
    <n v="4"/>
    <n v="2023"/>
  </r>
  <r>
    <d v="2023-05-04T00:00:00"/>
    <n v="374"/>
    <n v="74.8"/>
    <x v="0"/>
    <x v="3"/>
    <x v="2"/>
    <s v="Customer 23"/>
    <x v="4"/>
    <n v="5"/>
    <n v="2023"/>
  </r>
  <r>
    <d v="2023-11-10T00:00:00"/>
    <n v="177"/>
    <n v="19.47"/>
    <x v="1"/>
    <x v="4"/>
    <x v="0"/>
    <s v="Customer 32"/>
    <x v="5"/>
    <n v="11"/>
    <n v="2023"/>
  </r>
  <r>
    <d v="2023-01-26T00:00:00"/>
    <n v="424"/>
    <n v="76.319999999999993"/>
    <x v="0"/>
    <x v="0"/>
    <x v="3"/>
    <s v="Customer 12"/>
    <x v="6"/>
    <n v="1"/>
    <n v="2023"/>
  </r>
  <r>
    <d v="2023-11-11T00:00:00"/>
    <n v="105"/>
    <n v="13.65"/>
    <x v="2"/>
    <x v="4"/>
    <x v="1"/>
    <s v="Customer 34"/>
    <x v="5"/>
    <n v="11"/>
    <n v="2023"/>
  </r>
  <r>
    <d v="2023-09-01T00:00:00"/>
    <n v="212"/>
    <n v="36.04"/>
    <x v="0"/>
    <x v="4"/>
    <x v="0"/>
    <s v="Customer 21"/>
    <x v="7"/>
    <n v="9"/>
    <n v="2023"/>
  </r>
  <r>
    <d v="2023-09-14T00:00:00"/>
    <n v="163"/>
    <n v="30.97"/>
    <x v="0"/>
    <x v="5"/>
    <x v="1"/>
    <s v="Customer 34"/>
    <x v="7"/>
    <n v="9"/>
    <n v="2023"/>
  </r>
  <r>
    <d v="2023-07-23T00:00:00"/>
    <n v="139"/>
    <n v="40.31"/>
    <x v="1"/>
    <x v="1"/>
    <x v="0"/>
    <s v="Customer 10"/>
    <x v="8"/>
    <n v="7"/>
    <n v="2023"/>
  </r>
  <r>
    <d v="2023-03-10T00:00:00"/>
    <n v="470"/>
    <n v="108.1"/>
    <x v="1"/>
    <x v="4"/>
    <x v="1"/>
    <s v="Customer 12"/>
    <x v="1"/>
    <n v="3"/>
    <n v="2023"/>
  </r>
  <r>
    <d v="2023-08-20T00:00:00"/>
    <n v="335"/>
    <n v="87.1"/>
    <x v="1"/>
    <x v="1"/>
    <x v="2"/>
    <s v="Customer 25"/>
    <x v="9"/>
    <n v="8"/>
    <n v="2023"/>
  </r>
  <r>
    <d v="2023-09-15T00:00:00"/>
    <n v="433"/>
    <n v="112.58"/>
    <x v="1"/>
    <x v="1"/>
    <x v="1"/>
    <s v="Customer 36"/>
    <x v="7"/>
    <n v="9"/>
    <n v="2023"/>
  </r>
  <r>
    <d v="2023-03-24T00:00:00"/>
    <n v="169"/>
    <n v="21.97"/>
    <x v="0"/>
    <x v="4"/>
    <x v="0"/>
    <s v="Customer 17"/>
    <x v="1"/>
    <n v="3"/>
    <n v="2023"/>
  </r>
  <r>
    <d v="2023-01-08T00:00:00"/>
    <n v="372"/>
    <n v="78.12"/>
    <x v="1"/>
    <x v="4"/>
    <x v="3"/>
    <s v="Customer 36"/>
    <x v="6"/>
    <n v="1"/>
    <n v="2023"/>
  </r>
  <r>
    <d v="2023-11-20T00:00:00"/>
    <n v="487"/>
    <n v="68.180000000000007"/>
    <x v="0"/>
    <x v="4"/>
    <x v="0"/>
    <s v="Customer 34"/>
    <x v="5"/>
    <n v="11"/>
    <n v="2023"/>
  </r>
  <r>
    <d v="2023-08-24T00:00:00"/>
    <n v="456"/>
    <n v="63.84"/>
    <x v="0"/>
    <x v="5"/>
    <x v="1"/>
    <s v="Customer 16"/>
    <x v="9"/>
    <n v="8"/>
    <n v="2023"/>
  </r>
  <r>
    <d v="2023-06-15T00:00:00"/>
    <n v="384"/>
    <n v="53.76"/>
    <x v="1"/>
    <x v="3"/>
    <x v="0"/>
    <s v="Customer 2"/>
    <x v="0"/>
    <n v="6"/>
    <n v="2023"/>
  </r>
  <r>
    <d v="2023-04-11T00:00:00"/>
    <n v="340"/>
    <n v="54.4"/>
    <x v="2"/>
    <x v="0"/>
    <x v="2"/>
    <s v="Customer 1"/>
    <x v="3"/>
    <n v="4"/>
    <n v="2023"/>
  </r>
  <r>
    <d v="2023-10-21T00:00:00"/>
    <n v="185"/>
    <n v="37"/>
    <x v="1"/>
    <x v="4"/>
    <x v="2"/>
    <s v="Customer 10"/>
    <x v="10"/>
    <n v="10"/>
    <n v="2023"/>
  </r>
  <r>
    <d v="2023-03-09T00:00:00"/>
    <n v="450"/>
    <n v="63"/>
    <x v="2"/>
    <x v="4"/>
    <x v="1"/>
    <s v="Customer 19"/>
    <x v="1"/>
    <n v="3"/>
    <n v="2023"/>
  </r>
  <r>
    <d v="2023-05-08T00:00:00"/>
    <n v="169"/>
    <n v="38.869999999999997"/>
    <x v="1"/>
    <x v="2"/>
    <x v="1"/>
    <s v="Customer 16"/>
    <x v="4"/>
    <n v="5"/>
    <n v="2023"/>
  </r>
  <r>
    <d v="2023-03-09T00:00:00"/>
    <n v="364"/>
    <n v="58.24"/>
    <x v="0"/>
    <x v="0"/>
    <x v="3"/>
    <s v="Customer 40"/>
    <x v="1"/>
    <n v="3"/>
    <n v="2023"/>
  </r>
  <r>
    <d v="2023-02-18T00:00:00"/>
    <n v="174"/>
    <n v="20.88"/>
    <x v="2"/>
    <x v="4"/>
    <x v="2"/>
    <s v="Customer 33"/>
    <x v="11"/>
    <n v="2"/>
    <n v="2023"/>
  </r>
  <r>
    <d v="2023-10-15T00:00:00"/>
    <n v="448"/>
    <n v="44.8"/>
    <x v="1"/>
    <x v="4"/>
    <x v="2"/>
    <s v="Customer 38"/>
    <x v="10"/>
    <n v="10"/>
    <n v="2023"/>
  </r>
  <r>
    <d v="2023-04-16T00:00:00"/>
    <n v="361"/>
    <n v="61.37"/>
    <x v="2"/>
    <x v="3"/>
    <x v="1"/>
    <s v="Customer 39"/>
    <x v="3"/>
    <n v="4"/>
    <n v="2023"/>
  </r>
  <r>
    <d v="2023-04-16T00:00:00"/>
    <n v="377"/>
    <n v="41.47"/>
    <x v="2"/>
    <x v="2"/>
    <x v="3"/>
    <s v="Customer 23"/>
    <x v="3"/>
    <n v="4"/>
    <n v="2023"/>
  </r>
  <r>
    <d v="2023-12-22T00:00:00"/>
    <n v="199"/>
    <n v="59.7"/>
    <x v="0"/>
    <x v="5"/>
    <x v="0"/>
    <s v="Customer 6"/>
    <x v="2"/>
    <n v="12"/>
    <n v="2023"/>
  </r>
  <r>
    <d v="2023-11-09T00:00:00"/>
    <n v="241"/>
    <n v="33.74"/>
    <x v="1"/>
    <x v="0"/>
    <x v="1"/>
    <s v="Customer 6"/>
    <x v="5"/>
    <n v="11"/>
    <n v="2023"/>
  </r>
  <r>
    <d v="2023-11-13T00:00:00"/>
    <n v="447"/>
    <n v="107.28"/>
    <x v="2"/>
    <x v="3"/>
    <x v="1"/>
    <s v="Customer 5"/>
    <x v="5"/>
    <n v="11"/>
    <n v="2023"/>
  </r>
  <r>
    <d v="2023-08-07T00:00:00"/>
    <n v="358"/>
    <n v="89.5"/>
    <x v="2"/>
    <x v="2"/>
    <x v="1"/>
    <s v="Customer 50"/>
    <x v="9"/>
    <n v="8"/>
    <n v="2023"/>
  </r>
  <r>
    <d v="2023-09-15T00:00:00"/>
    <n v="443"/>
    <n v="106.32"/>
    <x v="1"/>
    <x v="3"/>
    <x v="0"/>
    <s v="Customer 41"/>
    <x v="7"/>
    <n v="9"/>
    <n v="2023"/>
  </r>
  <r>
    <d v="2023-04-16T00:00:00"/>
    <n v="240"/>
    <n v="62.4"/>
    <x v="2"/>
    <x v="4"/>
    <x v="0"/>
    <s v="Customer 30"/>
    <x v="3"/>
    <n v="4"/>
    <n v="2023"/>
  </r>
  <r>
    <d v="2023-10-21T00:00:00"/>
    <n v="102"/>
    <n v="15.3"/>
    <x v="0"/>
    <x v="4"/>
    <x v="3"/>
    <s v="Customer 7"/>
    <x v="10"/>
    <n v="10"/>
    <n v="2023"/>
  </r>
  <r>
    <d v="2023-01-27T00:00:00"/>
    <n v="379"/>
    <n v="90.96"/>
    <x v="2"/>
    <x v="3"/>
    <x v="2"/>
    <s v="Customer 5"/>
    <x v="6"/>
    <n v="1"/>
    <n v="2023"/>
  </r>
  <r>
    <d v="2023-04-16T00:00:00"/>
    <n v="181"/>
    <n v="32.58"/>
    <x v="2"/>
    <x v="0"/>
    <x v="2"/>
    <s v="Customer 1"/>
    <x v="3"/>
    <n v="4"/>
    <n v="2023"/>
  </r>
  <r>
    <d v="2023-11-28T00:00:00"/>
    <n v="350"/>
    <n v="73.5"/>
    <x v="1"/>
    <x v="2"/>
    <x v="2"/>
    <s v="Customer 25"/>
    <x v="5"/>
    <n v="11"/>
    <n v="2023"/>
  </r>
  <r>
    <d v="2023-08-24T00:00:00"/>
    <n v="342"/>
    <n v="95.76"/>
    <x v="2"/>
    <x v="5"/>
    <x v="0"/>
    <s v="Customer 11"/>
    <x v="9"/>
    <n v="8"/>
    <n v="2023"/>
  </r>
  <r>
    <d v="2023-09-26T00:00:00"/>
    <n v="399"/>
    <n v="51.87"/>
    <x v="2"/>
    <x v="3"/>
    <x v="3"/>
    <s v="Customer 32"/>
    <x v="7"/>
    <n v="9"/>
    <n v="2023"/>
  </r>
  <r>
    <d v="2023-07-11T00:00:00"/>
    <n v="425"/>
    <n v="110.5"/>
    <x v="2"/>
    <x v="0"/>
    <x v="2"/>
    <s v="Customer 7"/>
    <x v="8"/>
    <n v="7"/>
    <n v="2023"/>
  </r>
  <r>
    <d v="2023-08-05T00:00:00"/>
    <n v="345"/>
    <n v="41.4"/>
    <x v="1"/>
    <x v="1"/>
    <x v="2"/>
    <s v="Customer 44"/>
    <x v="9"/>
    <n v="8"/>
    <n v="2023"/>
  </r>
  <r>
    <d v="2023-06-19T00:00:00"/>
    <n v="365"/>
    <n v="73"/>
    <x v="1"/>
    <x v="5"/>
    <x v="0"/>
    <s v="Customer 16"/>
    <x v="0"/>
    <n v="6"/>
    <n v="2023"/>
  </r>
  <r>
    <d v="2023-03-20T00:00:00"/>
    <n v="223"/>
    <n v="62.44"/>
    <x v="2"/>
    <x v="1"/>
    <x v="0"/>
    <s v="Customer 3"/>
    <x v="1"/>
    <n v="3"/>
    <n v="2023"/>
  </r>
  <r>
    <d v="2023-03-27T00:00:00"/>
    <n v="173"/>
    <n v="24.22"/>
    <x v="2"/>
    <x v="0"/>
    <x v="3"/>
    <s v="Customer 8"/>
    <x v="1"/>
    <n v="3"/>
    <n v="2023"/>
  </r>
  <r>
    <d v="2023-01-01T00:00:00"/>
    <n v="381"/>
    <n v="49.53"/>
    <x v="0"/>
    <x v="3"/>
    <x v="0"/>
    <s v="Customer 25"/>
    <x v="6"/>
    <n v="1"/>
    <n v="2023"/>
  </r>
  <r>
    <d v="2023-11-06T00:00:00"/>
    <n v="388"/>
    <n v="54.32"/>
    <x v="2"/>
    <x v="0"/>
    <x v="0"/>
    <s v="Customer 40"/>
    <x v="5"/>
    <n v="11"/>
    <n v="2023"/>
  </r>
  <r>
    <d v="2023-06-02T00:00:00"/>
    <n v="192"/>
    <n v="30.72"/>
    <x v="2"/>
    <x v="2"/>
    <x v="1"/>
    <s v="Customer 46"/>
    <x v="0"/>
    <n v="6"/>
    <n v="2023"/>
  </r>
  <r>
    <d v="2023-07-05T00:00:00"/>
    <n v="219"/>
    <n v="45.99"/>
    <x v="0"/>
    <x v="3"/>
    <x v="1"/>
    <s v="Customer 41"/>
    <x v="8"/>
    <n v="7"/>
    <n v="2023"/>
  </r>
  <r>
    <d v="2023-08-14T00:00:00"/>
    <n v="497"/>
    <n v="134.19"/>
    <x v="2"/>
    <x v="5"/>
    <x v="2"/>
    <s v="Customer 37"/>
    <x v="9"/>
    <n v="8"/>
    <n v="2023"/>
  </r>
  <r>
    <d v="2023-07-20T00:00:00"/>
    <n v="347"/>
    <n v="58.99"/>
    <x v="2"/>
    <x v="0"/>
    <x v="1"/>
    <s v="Customer 16"/>
    <x v="8"/>
    <n v="7"/>
    <n v="2023"/>
  </r>
  <r>
    <d v="2023-02-23T00:00:00"/>
    <n v="472"/>
    <n v="141.6"/>
    <x v="0"/>
    <x v="5"/>
    <x v="3"/>
    <s v="Customer 15"/>
    <x v="11"/>
    <n v="2"/>
    <n v="2023"/>
  </r>
  <r>
    <d v="2023-09-14T00:00:00"/>
    <n v="402"/>
    <n v="108.54"/>
    <x v="0"/>
    <x v="1"/>
    <x v="3"/>
    <s v="Customer 25"/>
    <x v="7"/>
    <n v="9"/>
    <n v="2023"/>
  </r>
  <r>
    <d v="2023-03-26T00:00:00"/>
    <n v="187"/>
    <n v="52.36"/>
    <x v="2"/>
    <x v="4"/>
    <x v="1"/>
    <s v="Customer 49"/>
    <x v="1"/>
    <n v="3"/>
    <n v="2023"/>
  </r>
  <r>
    <d v="2023-08-10T00:00:00"/>
    <n v="217"/>
    <n v="62.93"/>
    <x v="0"/>
    <x v="0"/>
    <x v="3"/>
    <s v="Customer 14"/>
    <x v="9"/>
    <n v="8"/>
    <n v="2023"/>
  </r>
  <r>
    <d v="2023-04-28T00:00:00"/>
    <n v="256"/>
    <n v="61.44"/>
    <x v="1"/>
    <x v="2"/>
    <x v="1"/>
    <s v="Customer 30"/>
    <x v="3"/>
    <n v="4"/>
    <n v="2023"/>
  </r>
  <r>
    <d v="2023-06-20T00:00:00"/>
    <n v="305"/>
    <n v="91.5"/>
    <x v="0"/>
    <x v="0"/>
    <x v="2"/>
    <s v="Customer 42"/>
    <x v="0"/>
    <n v="6"/>
    <n v="2023"/>
  </r>
  <r>
    <d v="2023-11-19T00:00:00"/>
    <n v="195"/>
    <n v="37.049999999999997"/>
    <x v="2"/>
    <x v="0"/>
    <x v="1"/>
    <s v="Customer 22"/>
    <x v="5"/>
    <n v="11"/>
    <n v="2023"/>
  </r>
  <r>
    <d v="2023-02-05T00:00:00"/>
    <n v="355"/>
    <n v="102.95"/>
    <x v="0"/>
    <x v="5"/>
    <x v="1"/>
    <s v="Customer 41"/>
    <x v="11"/>
    <n v="2"/>
    <n v="2023"/>
  </r>
  <r>
    <d v="2023-03-25T00:00:00"/>
    <n v="127"/>
    <n v="22.86"/>
    <x v="2"/>
    <x v="5"/>
    <x v="3"/>
    <s v="Customer 21"/>
    <x v="1"/>
    <n v="3"/>
    <n v="2023"/>
  </r>
  <r>
    <d v="2023-09-22T00:00:00"/>
    <n v="384"/>
    <n v="84.48"/>
    <x v="1"/>
    <x v="2"/>
    <x v="0"/>
    <s v="Customer 24"/>
    <x v="7"/>
    <n v="9"/>
    <n v="2023"/>
  </r>
  <r>
    <d v="2023-11-01T00:00:00"/>
    <n v="251"/>
    <n v="55.22"/>
    <x v="1"/>
    <x v="0"/>
    <x v="1"/>
    <s v="Customer 14"/>
    <x v="5"/>
    <n v="11"/>
    <n v="2023"/>
  </r>
  <r>
    <d v="2023-02-07T00:00:00"/>
    <n v="189"/>
    <n v="26.46"/>
    <x v="0"/>
    <x v="5"/>
    <x v="0"/>
    <s v="Customer 10"/>
    <x v="11"/>
    <n v="2"/>
    <n v="2023"/>
  </r>
  <r>
    <d v="2023-07-22T00:00:00"/>
    <n v="414"/>
    <n v="41.4"/>
    <x v="0"/>
    <x v="0"/>
    <x v="1"/>
    <s v="Customer 25"/>
    <x v="8"/>
    <n v="7"/>
    <n v="2023"/>
  </r>
  <r>
    <d v="2023-10-02T00:00:00"/>
    <n v="286"/>
    <n v="31.46"/>
    <x v="1"/>
    <x v="5"/>
    <x v="0"/>
    <s v="Customer 10"/>
    <x v="10"/>
    <n v="10"/>
    <n v="2023"/>
  </r>
  <r>
    <d v="2023-03-25T00:00:00"/>
    <n v="189"/>
    <n v="45.36"/>
    <x v="2"/>
    <x v="3"/>
    <x v="1"/>
    <s v="Customer 14"/>
    <x v="1"/>
    <n v="3"/>
    <n v="2023"/>
  </r>
  <r>
    <d v="2023-02-10T00:00:00"/>
    <n v="206"/>
    <n v="22.66"/>
    <x v="0"/>
    <x v="2"/>
    <x v="2"/>
    <s v="Customer 33"/>
    <x v="11"/>
    <n v="2"/>
    <n v="2023"/>
  </r>
  <r>
    <d v="2023-04-15T00:00:00"/>
    <n v="178"/>
    <n v="33.82"/>
    <x v="2"/>
    <x v="3"/>
    <x v="0"/>
    <s v="Customer 1"/>
    <x v="3"/>
    <n v="4"/>
    <n v="2023"/>
  </r>
  <r>
    <d v="2023-04-07T00:00:00"/>
    <n v="432"/>
    <n v="129.6"/>
    <x v="1"/>
    <x v="5"/>
    <x v="2"/>
    <s v="Customer 24"/>
    <x v="3"/>
    <n v="4"/>
    <n v="2023"/>
  </r>
  <r>
    <d v="2023-02-11T00:00:00"/>
    <n v="246"/>
    <n v="27.06"/>
    <x v="2"/>
    <x v="2"/>
    <x v="2"/>
    <s v="Customer 28"/>
    <x v="11"/>
    <n v="2"/>
    <n v="2023"/>
  </r>
  <r>
    <d v="2023-01-23T00:00:00"/>
    <n v="162"/>
    <n v="29.16"/>
    <x v="1"/>
    <x v="4"/>
    <x v="2"/>
    <s v="Customer 29"/>
    <x v="6"/>
    <n v="1"/>
    <n v="2023"/>
  </r>
  <r>
    <d v="2023-05-04T00:00:00"/>
    <n v="475"/>
    <n v="57"/>
    <x v="1"/>
    <x v="2"/>
    <x v="3"/>
    <s v="Customer 7"/>
    <x v="4"/>
    <n v="5"/>
    <n v="2023"/>
  </r>
  <r>
    <d v="2023-01-01T00:00:00"/>
    <n v="410"/>
    <n v="77.900000000000006"/>
    <x v="1"/>
    <x v="1"/>
    <x v="2"/>
    <s v="Customer 16"/>
    <x v="6"/>
    <n v="1"/>
    <n v="2023"/>
  </r>
  <r>
    <d v="2023-04-04T00:00:00"/>
    <n v="347"/>
    <n v="79.81"/>
    <x v="2"/>
    <x v="5"/>
    <x v="2"/>
    <s v="Customer 40"/>
    <x v="3"/>
    <n v="4"/>
    <n v="2023"/>
  </r>
  <r>
    <d v="2023-04-07T00:00:00"/>
    <n v="432"/>
    <n v="99.36"/>
    <x v="0"/>
    <x v="2"/>
    <x v="2"/>
    <s v="Customer 13"/>
    <x v="3"/>
    <n v="4"/>
    <n v="2023"/>
  </r>
  <r>
    <d v="2023-03-04T00:00:00"/>
    <n v="414"/>
    <n v="49.68"/>
    <x v="1"/>
    <x v="2"/>
    <x v="0"/>
    <s v="Customer 4"/>
    <x v="1"/>
    <n v="3"/>
    <n v="2023"/>
  </r>
  <r>
    <d v="2023-04-02T00:00:00"/>
    <n v="209"/>
    <n v="45.98"/>
    <x v="0"/>
    <x v="5"/>
    <x v="0"/>
    <s v="Customer 50"/>
    <x v="3"/>
    <n v="4"/>
    <n v="2023"/>
  </r>
  <r>
    <d v="2023-01-18T00:00:00"/>
    <n v="170"/>
    <n v="44.2"/>
    <x v="2"/>
    <x v="1"/>
    <x v="1"/>
    <s v="Customer 34"/>
    <x v="6"/>
    <n v="1"/>
    <n v="2023"/>
  </r>
  <r>
    <d v="2023-09-17T00:00:00"/>
    <n v="152"/>
    <n v="31.92"/>
    <x v="2"/>
    <x v="1"/>
    <x v="0"/>
    <s v="Customer 37"/>
    <x v="7"/>
    <n v="9"/>
    <n v="2023"/>
  </r>
  <r>
    <d v="2023-01-26T00:00:00"/>
    <n v="446"/>
    <n v="57.98"/>
    <x v="2"/>
    <x v="1"/>
    <x v="1"/>
    <s v="Customer 14"/>
    <x v="6"/>
    <n v="1"/>
    <n v="2023"/>
  </r>
  <r>
    <d v="2023-05-12T00:00:00"/>
    <n v="406"/>
    <n v="73.08"/>
    <x v="0"/>
    <x v="1"/>
    <x v="2"/>
    <s v="Customer 43"/>
    <x v="4"/>
    <n v="5"/>
    <n v="2023"/>
  </r>
  <r>
    <d v="2023-11-18T00:00:00"/>
    <n v="209"/>
    <n v="48.07"/>
    <x v="0"/>
    <x v="2"/>
    <x v="1"/>
    <s v="Customer 23"/>
    <x v="5"/>
    <n v="11"/>
    <n v="2023"/>
  </r>
  <r>
    <d v="2023-12-23T00:00:00"/>
    <n v="285"/>
    <n v="76.95"/>
    <x v="1"/>
    <x v="5"/>
    <x v="1"/>
    <s v="Customer 43"/>
    <x v="2"/>
    <n v="12"/>
    <n v="2023"/>
  </r>
  <r>
    <d v="2023-09-09T00:00:00"/>
    <n v="276"/>
    <n v="63.48"/>
    <x v="0"/>
    <x v="1"/>
    <x v="2"/>
    <s v="Customer 29"/>
    <x v="7"/>
    <n v="9"/>
    <n v="2023"/>
  </r>
  <r>
    <d v="2023-03-18T00:00:00"/>
    <n v="182"/>
    <n v="20.02"/>
    <x v="1"/>
    <x v="2"/>
    <x v="0"/>
    <s v="Customer 23"/>
    <x v="1"/>
    <n v="3"/>
    <n v="2023"/>
  </r>
  <r>
    <d v="2023-10-05T00:00:00"/>
    <n v="123"/>
    <n v="29.52"/>
    <x v="1"/>
    <x v="1"/>
    <x v="3"/>
    <s v="Customer 25"/>
    <x v="10"/>
    <n v="10"/>
    <n v="2023"/>
  </r>
  <r>
    <d v="2023-09-03T00:00:00"/>
    <n v="110"/>
    <n v="33"/>
    <x v="1"/>
    <x v="4"/>
    <x v="1"/>
    <s v="Customer 13"/>
    <x v="7"/>
    <n v="9"/>
    <n v="2023"/>
  </r>
  <r>
    <d v="2023-12-23T00:00:00"/>
    <n v="228"/>
    <n v="59.28"/>
    <x v="0"/>
    <x v="0"/>
    <x v="1"/>
    <s v="Customer 27"/>
    <x v="2"/>
    <n v="12"/>
    <n v="2023"/>
  </r>
  <r>
    <d v="2023-11-24T00:00:00"/>
    <n v="250"/>
    <n v="30"/>
    <x v="0"/>
    <x v="0"/>
    <x v="1"/>
    <s v="Customer 40"/>
    <x v="5"/>
    <n v="11"/>
    <n v="2023"/>
  </r>
  <r>
    <d v="2023-01-03T00:00:00"/>
    <n v="212"/>
    <n v="50.88"/>
    <x v="1"/>
    <x v="4"/>
    <x v="0"/>
    <s v="Customer 18"/>
    <x v="6"/>
    <n v="1"/>
    <n v="2023"/>
  </r>
  <r>
    <d v="2023-01-13T00:00:00"/>
    <n v="107"/>
    <n v="27.82"/>
    <x v="0"/>
    <x v="4"/>
    <x v="2"/>
    <s v="Customer 38"/>
    <x v="6"/>
    <n v="1"/>
    <n v="2023"/>
  </r>
  <r>
    <d v="2023-12-09T00:00:00"/>
    <n v="144"/>
    <n v="23.04"/>
    <x v="1"/>
    <x v="2"/>
    <x v="1"/>
    <s v="Customer 13"/>
    <x v="2"/>
    <n v="12"/>
    <n v="2023"/>
  </r>
  <r>
    <d v="2023-07-19T00:00:00"/>
    <n v="153"/>
    <n v="30.6"/>
    <x v="1"/>
    <x v="5"/>
    <x v="1"/>
    <s v="Customer 19"/>
    <x v="8"/>
    <n v="7"/>
    <n v="2023"/>
  </r>
  <r>
    <d v="2023-10-25T00:00:00"/>
    <n v="335"/>
    <n v="97.15"/>
    <x v="1"/>
    <x v="0"/>
    <x v="1"/>
    <s v="Customer 2"/>
    <x v="10"/>
    <n v="10"/>
    <n v="2023"/>
  </r>
  <r>
    <d v="2023-06-25T00:00:00"/>
    <n v="262"/>
    <n v="52.4"/>
    <x v="2"/>
    <x v="1"/>
    <x v="2"/>
    <s v="Customer 4"/>
    <x v="0"/>
    <n v="6"/>
    <n v="2023"/>
  </r>
  <r>
    <d v="2023-06-27T00:00:00"/>
    <n v="360"/>
    <n v="43.2"/>
    <x v="1"/>
    <x v="3"/>
    <x v="0"/>
    <s v="Customer 32"/>
    <x v="0"/>
    <n v="6"/>
    <n v="2023"/>
  </r>
  <r>
    <d v="2023-05-09T00:00:00"/>
    <n v="304"/>
    <n v="69.92"/>
    <x v="2"/>
    <x v="0"/>
    <x v="0"/>
    <s v="Customer 18"/>
    <x v="4"/>
    <n v="5"/>
    <n v="2023"/>
  </r>
  <r>
    <d v="2023-07-19T00:00:00"/>
    <n v="198"/>
    <n v="33.659999999999997"/>
    <x v="0"/>
    <x v="0"/>
    <x v="2"/>
    <s v="Customer 45"/>
    <x v="8"/>
    <n v="7"/>
    <n v="2023"/>
  </r>
  <r>
    <d v="2023-01-24T00:00:00"/>
    <n v="439"/>
    <n v="100.97"/>
    <x v="2"/>
    <x v="4"/>
    <x v="3"/>
    <s v="Customer 43"/>
    <x v="6"/>
    <n v="1"/>
    <n v="2023"/>
  </r>
  <r>
    <d v="2023-11-16T00:00:00"/>
    <n v="249"/>
    <n v="69.72"/>
    <x v="2"/>
    <x v="3"/>
    <x v="1"/>
    <s v="Customer 36"/>
    <x v="5"/>
    <n v="11"/>
    <n v="2023"/>
  </r>
  <r>
    <d v="2023-08-26T00:00:00"/>
    <n v="393"/>
    <n v="51.09"/>
    <x v="1"/>
    <x v="0"/>
    <x v="3"/>
    <s v="Customer 7"/>
    <x v="9"/>
    <n v="8"/>
    <n v="2023"/>
  </r>
  <r>
    <d v="2023-06-23T00:00:00"/>
    <n v="203"/>
    <n v="60.9"/>
    <x v="0"/>
    <x v="2"/>
    <x v="2"/>
    <s v="Customer 8"/>
    <x v="0"/>
    <n v="6"/>
    <n v="2023"/>
  </r>
  <r>
    <d v="2023-07-09T00:00:00"/>
    <n v="258"/>
    <n v="54.18"/>
    <x v="1"/>
    <x v="2"/>
    <x v="3"/>
    <s v="Customer 26"/>
    <x v="8"/>
    <n v="7"/>
    <n v="2023"/>
  </r>
  <r>
    <d v="2023-07-18T00:00:00"/>
    <n v="495"/>
    <n v="108.9"/>
    <x v="1"/>
    <x v="3"/>
    <x v="1"/>
    <s v="Customer 47"/>
    <x v="8"/>
    <n v="7"/>
    <n v="2023"/>
  </r>
  <r>
    <d v="2023-05-21T00:00:00"/>
    <n v="182"/>
    <n v="54.6"/>
    <x v="1"/>
    <x v="5"/>
    <x v="3"/>
    <s v="Customer 43"/>
    <x v="4"/>
    <n v="5"/>
    <n v="2023"/>
  </r>
  <r>
    <d v="2023-10-13T00:00:00"/>
    <n v="125"/>
    <n v="32.5"/>
    <x v="1"/>
    <x v="0"/>
    <x v="3"/>
    <s v="Customer 39"/>
    <x v="10"/>
    <n v="10"/>
    <n v="2023"/>
  </r>
  <r>
    <d v="2023-10-20T00:00:00"/>
    <n v="188"/>
    <n v="26.32"/>
    <x v="1"/>
    <x v="3"/>
    <x v="2"/>
    <s v="Customer 38"/>
    <x v="10"/>
    <n v="10"/>
    <n v="2023"/>
  </r>
  <r>
    <d v="2023-08-18T00:00:00"/>
    <n v="461"/>
    <n v="50.71"/>
    <x v="0"/>
    <x v="0"/>
    <x v="1"/>
    <s v="Customer 35"/>
    <x v="9"/>
    <n v="8"/>
    <n v="2023"/>
  </r>
  <r>
    <d v="2023-02-09T00:00:00"/>
    <n v="115"/>
    <n v="32.200000000000003"/>
    <x v="2"/>
    <x v="4"/>
    <x v="0"/>
    <s v="Customer 10"/>
    <x v="11"/>
    <n v="2"/>
    <n v="2023"/>
  </r>
  <r>
    <d v="2023-11-19T00:00:00"/>
    <n v="105"/>
    <n v="27.3"/>
    <x v="0"/>
    <x v="5"/>
    <x v="0"/>
    <s v="Customer 45"/>
    <x v="5"/>
    <n v="11"/>
    <n v="2023"/>
  </r>
  <r>
    <d v="2023-05-05T00:00:00"/>
    <n v="484"/>
    <n v="106.48"/>
    <x v="1"/>
    <x v="4"/>
    <x v="0"/>
    <s v="Customer 40"/>
    <x v="4"/>
    <n v="5"/>
    <n v="2023"/>
  </r>
  <r>
    <d v="2023-03-21T00:00:00"/>
    <n v="478"/>
    <n v="86.04"/>
    <x v="0"/>
    <x v="1"/>
    <x v="3"/>
    <s v="Customer 22"/>
    <x v="1"/>
    <n v="3"/>
    <n v="2023"/>
  </r>
  <r>
    <d v="2023-01-02T00:00:00"/>
    <n v="178"/>
    <n v="17.8"/>
    <x v="1"/>
    <x v="1"/>
    <x v="2"/>
    <s v="Customer 29"/>
    <x v="6"/>
    <n v="1"/>
    <n v="2023"/>
  </r>
  <r>
    <d v="2023-08-26T00:00:00"/>
    <n v="291"/>
    <n v="87.3"/>
    <x v="0"/>
    <x v="5"/>
    <x v="0"/>
    <s v="Customer 21"/>
    <x v="9"/>
    <n v="8"/>
    <n v="2023"/>
  </r>
  <r>
    <d v="2023-04-09T00:00:00"/>
    <n v="111"/>
    <n v="21.09"/>
    <x v="2"/>
    <x v="2"/>
    <x v="1"/>
    <s v="Customer 9"/>
    <x v="3"/>
    <n v="4"/>
    <n v="2023"/>
  </r>
  <r>
    <d v="2023-11-27T00:00:00"/>
    <n v="203"/>
    <n v="34.51"/>
    <x v="2"/>
    <x v="0"/>
    <x v="0"/>
    <s v="Customer 10"/>
    <x v="5"/>
    <n v="11"/>
    <n v="2023"/>
  </r>
  <r>
    <d v="2023-10-11T00:00:00"/>
    <n v="261"/>
    <n v="62.64"/>
    <x v="1"/>
    <x v="1"/>
    <x v="2"/>
    <s v="Customer 25"/>
    <x v="10"/>
    <n v="10"/>
    <n v="2023"/>
  </r>
  <r>
    <d v="2023-02-27T00:00:00"/>
    <n v="258"/>
    <n v="51.6"/>
    <x v="0"/>
    <x v="4"/>
    <x v="1"/>
    <s v="Customer 50"/>
    <x v="11"/>
    <n v="2"/>
    <n v="2023"/>
  </r>
  <r>
    <d v="2023-12-16T00:00:00"/>
    <n v="283"/>
    <n v="76.41"/>
    <x v="0"/>
    <x v="0"/>
    <x v="3"/>
    <s v="Customer 16"/>
    <x v="2"/>
    <n v="12"/>
    <n v="2023"/>
  </r>
  <r>
    <d v="2023-06-10T00:00:00"/>
    <n v="249"/>
    <n v="52.29"/>
    <x v="1"/>
    <x v="2"/>
    <x v="2"/>
    <s v="Customer 44"/>
    <x v="0"/>
    <n v="6"/>
    <n v="2023"/>
  </r>
  <r>
    <d v="2023-05-21T00:00:00"/>
    <n v="174"/>
    <n v="34.799999999999997"/>
    <x v="1"/>
    <x v="2"/>
    <x v="2"/>
    <s v="Customer 17"/>
    <x v="4"/>
    <n v="5"/>
    <n v="2023"/>
  </r>
  <r>
    <d v="2023-08-15T00:00:00"/>
    <n v="157"/>
    <n v="47.1"/>
    <x v="1"/>
    <x v="5"/>
    <x v="2"/>
    <s v="Customer 6"/>
    <x v="9"/>
    <n v="8"/>
    <n v="2023"/>
  </r>
  <r>
    <d v="2023-04-05T00:00:00"/>
    <n v="303"/>
    <n v="45.45"/>
    <x v="0"/>
    <x v="1"/>
    <x v="1"/>
    <s v="Customer 16"/>
    <x v="3"/>
    <n v="4"/>
    <n v="2023"/>
  </r>
  <r>
    <d v="2023-10-02T00:00:00"/>
    <n v="476"/>
    <n v="128.52000000000001"/>
    <x v="1"/>
    <x v="1"/>
    <x v="2"/>
    <s v="Customer 19"/>
    <x v="10"/>
    <n v="10"/>
    <n v="2023"/>
  </r>
  <r>
    <d v="2023-09-07T00:00:00"/>
    <n v="455"/>
    <n v="91"/>
    <x v="0"/>
    <x v="3"/>
    <x v="1"/>
    <s v="Customer 39"/>
    <x v="7"/>
    <n v="9"/>
    <n v="2023"/>
  </r>
  <r>
    <d v="2023-08-08T00:00:00"/>
    <n v="381"/>
    <n v="53.34"/>
    <x v="1"/>
    <x v="5"/>
    <x v="1"/>
    <s v="Customer 26"/>
    <x v="9"/>
    <n v="8"/>
    <n v="2023"/>
  </r>
  <r>
    <d v="2023-03-22T00:00:00"/>
    <n v="108"/>
    <n v="21.6"/>
    <x v="1"/>
    <x v="4"/>
    <x v="1"/>
    <s v="Customer 45"/>
    <x v="1"/>
    <n v="3"/>
    <n v="2023"/>
  </r>
  <r>
    <d v="2023-11-27T00:00:00"/>
    <n v="476"/>
    <n v="57.12"/>
    <x v="0"/>
    <x v="1"/>
    <x v="3"/>
    <s v="Customer 33"/>
    <x v="5"/>
    <n v="11"/>
    <n v="2023"/>
  </r>
  <r>
    <d v="2023-09-22T00:00:00"/>
    <n v="369"/>
    <n v="81.180000000000007"/>
    <x v="0"/>
    <x v="3"/>
    <x v="1"/>
    <s v="Customer 21"/>
    <x v="7"/>
    <n v="9"/>
    <n v="2023"/>
  </r>
  <r>
    <d v="2023-12-24T00:00:00"/>
    <n v="466"/>
    <n v="79.22"/>
    <x v="0"/>
    <x v="4"/>
    <x v="2"/>
    <s v="Customer 18"/>
    <x v="2"/>
    <n v="12"/>
    <n v="2023"/>
  </r>
  <r>
    <d v="2023-03-05T00:00:00"/>
    <n v="202"/>
    <n v="40.4"/>
    <x v="1"/>
    <x v="5"/>
    <x v="1"/>
    <s v="Customer 1"/>
    <x v="1"/>
    <n v="3"/>
    <n v="2023"/>
  </r>
  <r>
    <d v="2023-04-04T00:00:00"/>
    <n v="396"/>
    <n v="106.92"/>
    <x v="2"/>
    <x v="1"/>
    <x v="2"/>
    <s v="Customer 14"/>
    <x v="3"/>
    <n v="4"/>
    <n v="2023"/>
  </r>
  <r>
    <d v="2023-07-12T00:00:00"/>
    <n v="427"/>
    <n v="111.02"/>
    <x v="2"/>
    <x v="5"/>
    <x v="2"/>
    <s v="Customer 6"/>
    <x v="8"/>
    <n v="7"/>
    <n v="2023"/>
  </r>
  <r>
    <d v="2023-10-08T00:00:00"/>
    <n v="112"/>
    <n v="32.479999999999997"/>
    <x v="2"/>
    <x v="2"/>
    <x v="3"/>
    <s v="Customer 2"/>
    <x v="10"/>
    <n v="10"/>
    <n v="2023"/>
  </r>
  <r>
    <d v="2023-05-14T00:00:00"/>
    <n v="282"/>
    <n v="56.4"/>
    <x v="2"/>
    <x v="0"/>
    <x v="0"/>
    <s v="Customer 18"/>
    <x v="4"/>
    <n v="5"/>
    <n v="2023"/>
  </r>
  <r>
    <d v="2023-03-13T00:00:00"/>
    <n v="409"/>
    <n v="57.26"/>
    <x v="0"/>
    <x v="4"/>
    <x v="3"/>
    <s v="Customer 14"/>
    <x v="1"/>
    <n v="3"/>
    <n v="2023"/>
  </r>
  <r>
    <d v="2023-05-19T00:00:00"/>
    <n v="255"/>
    <n v="56.1"/>
    <x v="0"/>
    <x v="2"/>
    <x v="3"/>
    <s v="Customer 19"/>
    <x v="4"/>
    <n v="5"/>
    <n v="2023"/>
  </r>
  <r>
    <d v="2023-11-07T00:00:00"/>
    <n v="180"/>
    <n v="21.6"/>
    <x v="2"/>
    <x v="1"/>
    <x v="3"/>
    <s v="Customer 8"/>
    <x v="5"/>
    <n v="11"/>
    <n v="2023"/>
  </r>
  <r>
    <d v="2023-07-16T00:00:00"/>
    <n v="131"/>
    <n v="20.96"/>
    <x v="1"/>
    <x v="4"/>
    <x v="0"/>
    <s v="Customer 29"/>
    <x v="8"/>
    <n v="7"/>
    <n v="2023"/>
  </r>
  <r>
    <d v="2023-09-05T00:00:00"/>
    <n v="491"/>
    <n v="142.38999999999999"/>
    <x v="0"/>
    <x v="3"/>
    <x v="0"/>
    <s v="Customer 13"/>
    <x v="7"/>
    <n v="9"/>
    <n v="2023"/>
  </r>
  <r>
    <d v="2023-10-17T00:00:00"/>
    <n v="119"/>
    <n v="11.9"/>
    <x v="1"/>
    <x v="4"/>
    <x v="2"/>
    <s v="Customer 26"/>
    <x v="10"/>
    <n v="10"/>
    <n v="2023"/>
  </r>
  <r>
    <d v="2023-12-16T00:00:00"/>
    <n v="259"/>
    <n v="64.75"/>
    <x v="0"/>
    <x v="5"/>
    <x v="0"/>
    <s v="Customer 37"/>
    <x v="2"/>
    <n v="12"/>
    <n v="2023"/>
  </r>
  <r>
    <d v="2023-06-28T00:00:00"/>
    <n v="117"/>
    <n v="18.72"/>
    <x v="2"/>
    <x v="0"/>
    <x v="0"/>
    <s v="Customer 21"/>
    <x v="0"/>
    <n v="6"/>
    <n v="2023"/>
  </r>
  <r>
    <d v="2023-05-06T00:00:00"/>
    <n v="185"/>
    <n v="44.4"/>
    <x v="2"/>
    <x v="5"/>
    <x v="0"/>
    <s v="Customer 25"/>
    <x v="4"/>
    <n v="5"/>
    <n v="2023"/>
  </r>
  <r>
    <d v="2023-09-22T00:00:00"/>
    <n v="488"/>
    <n v="141.52000000000001"/>
    <x v="1"/>
    <x v="0"/>
    <x v="3"/>
    <s v="Customer 20"/>
    <x v="7"/>
    <n v="9"/>
    <n v="2023"/>
  </r>
  <r>
    <d v="2023-04-07T00:00:00"/>
    <n v="468"/>
    <n v="131.04"/>
    <x v="2"/>
    <x v="4"/>
    <x v="2"/>
    <s v="Customer 3"/>
    <x v="3"/>
    <n v="4"/>
    <n v="2023"/>
  </r>
  <r>
    <d v="2023-03-08T00:00:00"/>
    <n v="422"/>
    <n v="92.84"/>
    <x v="1"/>
    <x v="0"/>
    <x v="3"/>
    <s v="Customer 28"/>
    <x v="1"/>
    <n v="3"/>
    <n v="2023"/>
  </r>
  <r>
    <d v="2023-02-13T00:00:00"/>
    <n v="122"/>
    <n v="34.159999999999997"/>
    <x v="2"/>
    <x v="0"/>
    <x v="0"/>
    <s v="Customer 48"/>
    <x v="11"/>
    <n v="2"/>
    <n v="2023"/>
  </r>
  <r>
    <d v="2023-01-05T00:00:00"/>
    <n v="188"/>
    <n v="30.08"/>
    <x v="2"/>
    <x v="3"/>
    <x v="3"/>
    <s v="Customer 10"/>
    <x v="6"/>
    <n v="1"/>
    <n v="2023"/>
  </r>
  <r>
    <d v="2023-12-18T00:00:00"/>
    <n v="258"/>
    <n v="77.400000000000006"/>
    <x v="2"/>
    <x v="4"/>
    <x v="3"/>
    <s v="Customer 21"/>
    <x v="2"/>
    <n v="12"/>
    <n v="2023"/>
  </r>
  <r>
    <d v="2023-09-26T00:00:00"/>
    <n v="487"/>
    <n v="82.79"/>
    <x v="1"/>
    <x v="0"/>
    <x v="3"/>
    <s v="Customer 2"/>
    <x v="7"/>
    <n v="9"/>
    <n v="2023"/>
  </r>
  <r>
    <d v="2023-03-03T00:00:00"/>
    <n v="165"/>
    <n v="23.1"/>
    <x v="0"/>
    <x v="2"/>
    <x v="3"/>
    <s v="Customer 33"/>
    <x v="1"/>
    <n v="3"/>
    <n v="2023"/>
  </r>
  <r>
    <d v="2023-12-09T00:00:00"/>
    <n v="127"/>
    <n v="38.1"/>
    <x v="0"/>
    <x v="2"/>
    <x v="2"/>
    <s v="Customer 33"/>
    <x v="2"/>
    <n v="12"/>
    <n v="2023"/>
  </r>
  <r>
    <d v="2023-05-11T00:00:00"/>
    <n v="133"/>
    <n v="39.9"/>
    <x v="1"/>
    <x v="0"/>
    <x v="0"/>
    <s v="Customer 2"/>
    <x v="4"/>
    <n v="5"/>
    <n v="2023"/>
  </r>
  <r>
    <d v="2023-01-26T00:00:00"/>
    <n v="186"/>
    <n v="31.62"/>
    <x v="1"/>
    <x v="5"/>
    <x v="0"/>
    <s v="Customer 3"/>
    <x v="6"/>
    <n v="1"/>
    <n v="2023"/>
  </r>
  <r>
    <d v="2023-04-28T00:00:00"/>
    <n v="241"/>
    <n v="65.069999999999993"/>
    <x v="1"/>
    <x v="4"/>
    <x v="3"/>
    <s v="Customer 21"/>
    <x v="3"/>
    <n v="4"/>
    <n v="2023"/>
  </r>
  <r>
    <d v="2023-07-15T00:00:00"/>
    <n v="203"/>
    <n v="26.39"/>
    <x v="0"/>
    <x v="5"/>
    <x v="0"/>
    <s v="Customer 50"/>
    <x v="8"/>
    <n v="7"/>
    <n v="2023"/>
  </r>
  <r>
    <d v="2023-05-11T00:00:00"/>
    <n v="334"/>
    <n v="90.18"/>
    <x v="0"/>
    <x v="2"/>
    <x v="3"/>
    <s v="Customer 36"/>
    <x v="4"/>
    <n v="5"/>
    <n v="2023"/>
  </r>
  <r>
    <d v="2023-02-21T00:00:00"/>
    <n v="113"/>
    <n v="18.079999999999998"/>
    <x v="1"/>
    <x v="2"/>
    <x v="0"/>
    <s v="Customer 25"/>
    <x v="11"/>
    <n v="2"/>
    <n v="2023"/>
  </r>
  <r>
    <d v="2023-04-05T00:00:00"/>
    <n v="403"/>
    <n v="104.78"/>
    <x v="1"/>
    <x v="3"/>
    <x v="3"/>
    <s v="Customer 41"/>
    <x v="3"/>
    <n v="4"/>
    <n v="2023"/>
  </r>
  <r>
    <d v="2023-04-11T00:00:00"/>
    <n v="391"/>
    <n v="46.92"/>
    <x v="0"/>
    <x v="4"/>
    <x v="3"/>
    <s v="Customer 22"/>
    <x v="3"/>
    <n v="4"/>
    <n v="2023"/>
  </r>
  <r>
    <d v="2023-11-02T00:00:00"/>
    <n v="364"/>
    <n v="105.56"/>
    <x v="0"/>
    <x v="3"/>
    <x v="2"/>
    <s v="Customer 39"/>
    <x v="5"/>
    <n v="11"/>
    <n v="2023"/>
  </r>
  <r>
    <d v="2023-08-16T00:00:00"/>
    <n v="442"/>
    <n v="75.14"/>
    <x v="0"/>
    <x v="3"/>
    <x v="3"/>
    <s v="Customer 31"/>
    <x v="9"/>
    <n v="8"/>
    <n v="2023"/>
  </r>
  <r>
    <d v="2023-05-16T00:00:00"/>
    <n v="315"/>
    <n v="75.599999999999994"/>
    <x v="0"/>
    <x v="1"/>
    <x v="0"/>
    <s v="Customer 3"/>
    <x v="4"/>
    <n v="5"/>
    <n v="2023"/>
  </r>
  <r>
    <d v="2023-08-26T00:00:00"/>
    <n v="134"/>
    <n v="16.079999999999998"/>
    <x v="0"/>
    <x v="2"/>
    <x v="0"/>
    <s v="Customer 38"/>
    <x v="9"/>
    <n v="8"/>
    <n v="2023"/>
  </r>
  <r>
    <d v="2023-08-10T00:00:00"/>
    <n v="122"/>
    <n v="34.159999999999997"/>
    <x v="0"/>
    <x v="0"/>
    <x v="0"/>
    <s v="Customer 20"/>
    <x v="9"/>
    <n v="8"/>
    <n v="2023"/>
  </r>
  <r>
    <d v="2023-04-27T00:00:00"/>
    <n v="304"/>
    <n v="82.08"/>
    <x v="1"/>
    <x v="5"/>
    <x v="0"/>
    <s v="Customer 22"/>
    <x v="3"/>
    <n v="4"/>
    <n v="2023"/>
  </r>
  <r>
    <d v="2023-12-27T00:00:00"/>
    <n v="390"/>
    <n v="39"/>
    <x v="1"/>
    <x v="5"/>
    <x v="0"/>
    <s v="Customer 26"/>
    <x v="2"/>
    <n v="12"/>
    <n v="2023"/>
  </r>
  <r>
    <d v="2023-05-07T00:00:00"/>
    <n v="492"/>
    <n v="73.8"/>
    <x v="1"/>
    <x v="1"/>
    <x v="1"/>
    <s v="Customer 46"/>
    <x v="4"/>
    <n v="5"/>
    <n v="2023"/>
  </r>
  <r>
    <d v="2023-09-04T00:00:00"/>
    <n v="297"/>
    <n v="62.37"/>
    <x v="0"/>
    <x v="3"/>
    <x v="2"/>
    <s v="Customer 3"/>
    <x v="7"/>
    <n v="9"/>
    <n v="2023"/>
  </r>
  <r>
    <d v="2023-02-01T00:00:00"/>
    <n v="110"/>
    <n v="14.3"/>
    <x v="0"/>
    <x v="3"/>
    <x v="0"/>
    <s v="Customer 12"/>
    <x v="11"/>
    <n v="2"/>
    <n v="2023"/>
  </r>
  <r>
    <d v="2023-08-16T00:00:00"/>
    <n v="343"/>
    <n v="99.47"/>
    <x v="0"/>
    <x v="2"/>
    <x v="1"/>
    <s v="Customer 13"/>
    <x v="9"/>
    <n v="8"/>
    <n v="2023"/>
  </r>
  <r>
    <d v="2023-04-09T00:00:00"/>
    <n v="443"/>
    <n v="93.03"/>
    <x v="1"/>
    <x v="4"/>
    <x v="2"/>
    <s v="Customer 20"/>
    <x v="3"/>
    <n v="4"/>
    <n v="2023"/>
  </r>
  <r>
    <d v="2023-11-16T00:00:00"/>
    <n v="251"/>
    <n v="62.75"/>
    <x v="1"/>
    <x v="2"/>
    <x v="0"/>
    <s v="Customer 2"/>
    <x v="5"/>
    <n v="11"/>
    <n v="2023"/>
  </r>
  <r>
    <d v="2023-03-07T00:00:00"/>
    <n v="322"/>
    <n v="77.28"/>
    <x v="2"/>
    <x v="0"/>
    <x v="0"/>
    <s v="Customer 18"/>
    <x v="1"/>
    <n v="3"/>
    <n v="2023"/>
  </r>
  <r>
    <d v="2023-12-26T00:00:00"/>
    <n v="497"/>
    <n v="89.46"/>
    <x v="0"/>
    <x v="0"/>
    <x v="1"/>
    <s v="Customer 42"/>
    <x v="2"/>
    <n v="12"/>
    <n v="2023"/>
  </r>
  <r>
    <d v="2023-12-24T00:00:00"/>
    <n v="489"/>
    <n v="88.02"/>
    <x v="1"/>
    <x v="0"/>
    <x v="0"/>
    <s v="Customer 31"/>
    <x v="2"/>
    <n v="12"/>
    <n v="2023"/>
  </r>
  <r>
    <d v="2023-12-27T00:00:00"/>
    <n v="233"/>
    <n v="25.63"/>
    <x v="2"/>
    <x v="1"/>
    <x v="0"/>
    <s v="Customer 23"/>
    <x v="2"/>
    <n v="12"/>
    <n v="2023"/>
  </r>
  <r>
    <d v="2023-02-14T00:00:00"/>
    <n v="417"/>
    <n v="120.93"/>
    <x v="0"/>
    <x v="4"/>
    <x v="1"/>
    <s v="Customer 49"/>
    <x v="11"/>
    <n v="2"/>
    <n v="2023"/>
  </r>
  <r>
    <d v="2023-08-24T00:00:00"/>
    <n v="348"/>
    <n v="100.92"/>
    <x v="0"/>
    <x v="0"/>
    <x v="2"/>
    <s v="Customer 17"/>
    <x v="9"/>
    <n v="8"/>
    <n v="2023"/>
  </r>
  <r>
    <d v="2023-01-21T00:00:00"/>
    <n v="308"/>
    <n v="64.680000000000007"/>
    <x v="2"/>
    <x v="2"/>
    <x v="0"/>
    <s v="Customer 23"/>
    <x v="6"/>
    <n v="1"/>
    <n v="2023"/>
  </r>
  <r>
    <d v="2023-04-02T00:00:00"/>
    <n v="154"/>
    <n v="35.42"/>
    <x v="2"/>
    <x v="2"/>
    <x v="0"/>
    <s v="Customer 20"/>
    <x v="3"/>
    <n v="4"/>
    <n v="2023"/>
  </r>
  <r>
    <d v="2023-08-21T00:00:00"/>
    <n v="374"/>
    <n v="63.58"/>
    <x v="1"/>
    <x v="3"/>
    <x v="2"/>
    <s v="Customer 46"/>
    <x v="9"/>
    <n v="8"/>
    <n v="2023"/>
  </r>
  <r>
    <d v="2023-06-18T00:00:00"/>
    <n v="234"/>
    <n v="56.16"/>
    <x v="1"/>
    <x v="5"/>
    <x v="0"/>
    <s v="Customer 40"/>
    <x v="0"/>
    <n v="6"/>
    <n v="2023"/>
  </r>
  <r>
    <d v="2023-12-27T00:00:00"/>
    <n v="167"/>
    <n v="41.75"/>
    <x v="0"/>
    <x v="0"/>
    <x v="2"/>
    <s v="Customer 16"/>
    <x v="2"/>
    <n v="12"/>
    <n v="2023"/>
  </r>
  <r>
    <d v="2023-02-25T00:00:00"/>
    <n v="499"/>
    <n v="94.81"/>
    <x v="1"/>
    <x v="2"/>
    <x v="2"/>
    <s v="Customer 12"/>
    <x v="11"/>
    <n v="2"/>
    <n v="2023"/>
  </r>
  <r>
    <d v="2023-04-21T00:00:00"/>
    <n v="268"/>
    <n v="75.040000000000006"/>
    <x v="2"/>
    <x v="1"/>
    <x v="0"/>
    <s v="Customer 22"/>
    <x v="3"/>
    <n v="4"/>
    <n v="2023"/>
  </r>
  <r>
    <d v="2023-07-28T00:00:00"/>
    <n v="220"/>
    <n v="57.2"/>
    <x v="2"/>
    <x v="4"/>
    <x v="2"/>
    <s v="Customer 40"/>
    <x v="8"/>
    <n v="7"/>
    <n v="2023"/>
  </r>
  <r>
    <d v="2023-06-26T00:00:00"/>
    <n v="366"/>
    <n v="40.26"/>
    <x v="2"/>
    <x v="3"/>
    <x v="1"/>
    <s v="Customer 1"/>
    <x v="0"/>
    <n v="6"/>
    <n v="2023"/>
  </r>
  <r>
    <d v="2023-08-03T00:00:00"/>
    <n v="140"/>
    <n v="36.4"/>
    <x v="2"/>
    <x v="3"/>
    <x v="3"/>
    <s v="Customer 46"/>
    <x v="9"/>
    <n v="8"/>
    <n v="2023"/>
  </r>
  <r>
    <d v="2023-04-27T00:00:00"/>
    <n v="235"/>
    <n v="37.6"/>
    <x v="0"/>
    <x v="2"/>
    <x v="3"/>
    <s v="Customer 14"/>
    <x v="3"/>
    <n v="4"/>
    <n v="2023"/>
  </r>
  <r>
    <d v="2023-05-07T00:00:00"/>
    <n v="255"/>
    <n v="33.15"/>
    <x v="0"/>
    <x v="2"/>
    <x v="2"/>
    <s v="Customer 47"/>
    <x v="4"/>
    <n v="5"/>
    <n v="2023"/>
  </r>
  <r>
    <d v="2023-04-15T00:00:00"/>
    <n v="301"/>
    <n v="90.3"/>
    <x v="2"/>
    <x v="5"/>
    <x v="0"/>
    <s v="Customer 6"/>
    <x v="3"/>
    <n v="4"/>
    <n v="2023"/>
  </r>
  <r>
    <d v="2023-12-12T00:00:00"/>
    <n v="279"/>
    <n v="72.540000000000006"/>
    <x v="0"/>
    <x v="0"/>
    <x v="0"/>
    <s v="Customer 16"/>
    <x v="2"/>
    <n v="12"/>
    <n v="2023"/>
  </r>
  <r>
    <d v="2023-08-27T00:00:00"/>
    <n v="360"/>
    <n v="82.8"/>
    <x v="2"/>
    <x v="2"/>
    <x v="2"/>
    <s v="Customer 28"/>
    <x v="9"/>
    <n v="8"/>
    <n v="2023"/>
  </r>
  <r>
    <d v="2023-06-19T00:00:00"/>
    <n v="346"/>
    <n v="34.6"/>
    <x v="2"/>
    <x v="5"/>
    <x v="2"/>
    <s v="Customer 30"/>
    <x v="0"/>
    <n v="6"/>
    <n v="2023"/>
  </r>
  <r>
    <d v="2023-12-21T00:00:00"/>
    <n v="219"/>
    <n v="48.18"/>
    <x v="2"/>
    <x v="4"/>
    <x v="2"/>
    <s v="Customer 40"/>
    <x v="2"/>
    <n v="12"/>
    <n v="2023"/>
  </r>
  <r>
    <d v="2023-08-26T00:00:00"/>
    <n v="483"/>
    <n v="67.62"/>
    <x v="1"/>
    <x v="5"/>
    <x v="2"/>
    <s v="Customer 17"/>
    <x v="9"/>
    <n v="8"/>
    <n v="2023"/>
  </r>
  <r>
    <d v="2023-03-26T00:00:00"/>
    <n v="357"/>
    <n v="64.260000000000005"/>
    <x v="0"/>
    <x v="1"/>
    <x v="0"/>
    <s v="Customer 3"/>
    <x v="1"/>
    <n v="3"/>
    <n v="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A4" firstHeaderRow="1" firstDataRow="1" firstDataCol="0"/>
  <pivotFields count="10"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ales" fld="1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10">
    <pivotField numFmtId="14" showAll="0"/>
    <pivotField dataField="1"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10">
    <pivotField numFmtId="14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6" firstHeaderRow="1" firstDataRow="1" firstDataCol="1"/>
  <pivotFields count="10"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13">
        <item x="6"/>
        <item x="11"/>
        <item x="1"/>
        <item x="3"/>
        <item x="4"/>
        <item x="0"/>
        <item x="8"/>
        <item x="9"/>
        <item x="7"/>
        <item x="10"/>
        <item x="5"/>
        <item x="2"/>
        <item t="default"/>
      </items>
    </pivotField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0" firstHeaderRow="1" firstDataRow="1" firstDataCol="1"/>
  <pivotFields count="10">
    <pivotField numFmtId="14" showAll="0"/>
    <pivotField dataField="1" showAll="0"/>
    <pivotField showAll="0"/>
    <pivotField showAll="0"/>
    <pivotField axis="axisRow" showAll="0">
      <items count="7">
        <item x="4"/>
        <item x="1"/>
        <item x="2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J200" totalsRowShown="0">
  <autoFilter ref="A1:J200"/>
  <sortState ref="A2:J200">
    <sortCondition descending="1" ref="B2"/>
  </sortState>
  <tableColumns count="10">
    <tableColumn id="1" name="Order Date" dataDxfId="2"/>
    <tableColumn id="2" name="Sales"/>
    <tableColumn id="3" name="Profit"/>
    <tableColumn id="4" name="Category"/>
    <tableColumn id="5" name="Sub-Category"/>
    <tableColumn id="6" name="Region"/>
    <tableColumn id="7" name="Customer Name"/>
    <tableColumn id="8" name="Month">
      <calculatedColumnFormula>TEXT(A2,"mmm")</calculatedColumnFormula>
    </tableColumn>
    <tableColumn id="9" name="Month Number">
      <calculatedColumnFormula>MONTH(A2)</calculatedColumnFormula>
    </tableColumn>
    <tableColumn id="10" name="Year">
      <calculatedColumnFormula>YEAR(A2)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4"/>
  <sheetViews>
    <sheetView workbookViewId="0">
      <selection activeCell="A4" sqref="A4"/>
    </sheetView>
  </sheetViews>
  <sheetFormatPr defaultRowHeight="14.4"/>
  <cols>
    <col min="1" max="1" width="11.6640625" bestFit="1" customWidth="1"/>
  </cols>
  <sheetData>
    <row r="3" spans="1:1">
      <c r="A3" t="s">
        <v>85</v>
      </c>
    </row>
    <row r="4" spans="1:1">
      <c r="A4" s="3">
        <v>57939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I13" sqref="I13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4" t="s">
        <v>86</v>
      </c>
      <c r="B3" t="s">
        <v>85</v>
      </c>
    </row>
    <row r="4" spans="1:2">
      <c r="A4" s="5" t="s">
        <v>24</v>
      </c>
      <c r="B4" s="2">
        <v>11811</v>
      </c>
    </row>
    <row r="5" spans="1:2">
      <c r="A5" s="5" t="s">
        <v>9</v>
      </c>
      <c r="B5" s="2">
        <v>15425</v>
      </c>
    </row>
    <row r="6" spans="1:2">
      <c r="A6" s="5" t="s">
        <v>20</v>
      </c>
      <c r="B6" s="2">
        <v>16086</v>
      </c>
    </row>
    <row r="7" spans="1:2">
      <c r="A7" s="5" t="s">
        <v>13</v>
      </c>
      <c r="B7" s="2">
        <v>14617</v>
      </c>
    </row>
    <row r="8" spans="1:2">
      <c r="A8" s="5" t="s">
        <v>87</v>
      </c>
      <c r="B8" s="2">
        <v>57939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E4" sqref="E4"/>
    </sheetView>
  </sheetViews>
  <sheetFormatPr defaultRowHeight="14.4"/>
  <cols>
    <col min="1" max="1" width="13.109375" bestFit="1" customWidth="1"/>
    <col min="2" max="2" width="11.6640625" bestFit="1" customWidth="1"/>
  </cols>
  <sheetData>
    <row r="3" spans="1:2">
      <c r="A3" s="4" t="s">
        <v>86</v>
      </c>
      <c r="B3" t="s">
        <v>85</v>
      </c>
    </row>
    <row r="4" spans="1:2">
      <c r="A4" s="5" t="s">
        <v>11</v>
      </c>
      <c r="B4" s="2">
        <v>21159</v>
      </c>
    </row>
    <row r="5" spans="1:2">
      <c r="A5" s="5" t="s">
        <v>15</v>
      </c>
      <c r="B5" s="2">
        <v>16476</v>
      </c>
    </row>
    <row r="6" spans="1:2">
      <c r="A6" s="5" t="s">
        <v>7</v>
      </c>
      <c r="B6" s="2">
        <v>20304</v>
      </c>
    </row>
    <row r="7" spans="1:2">
      <c r="A7" s="5" t="s">
        <v>87</v>
      </c>
      <c r="B7" s="2">
        <v>57939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6"/>
  <sheetViews>
    <sheetView workbookViewId="0">
      <selection activeCell="C21" sqref="C21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4" t="s">
        <v>86</v>
      </c>
      <c r="B3" t="s">
        <v>85</v>
      </c>
    </row>
    <row r="4" spans="1:2">
      <c r="A4" s="5" t="s">
        <v>79</v>
      </c>
      <c r="B4" s="2">
        <v>4362</v>
      </c>
    </row>
    <row r="5" spans="1:2">
      <c r="A5" s="5" t="s">
        <v>84</v>
      </c>
      <c r="B5" s="2">
        <v>3276</v>
      </c>
    </row>
    <row r="6" spans="1:2">
      <c r="A6" s="5" t="s">
        <v>74</v>
      </c>
      <c r="B6" s="2">
        <v>5511</v>
      </c>
    </row>
    <row r="7" spans="1:2">
      <c r="A7" s="5" t="s">
        <v>76</v>
      </c>
      <c r="B7" s="2">
        <v>7607</v>
      </c>
    </row>
    <row r="8" spans="1:2">
      <c r="A8" s="5" t="s">
        <v>77</v>
      </c>
      <c r="B8" s="2">
        <v>4819</v>
      </c>
    </row>
    <row r="9" spans="1:2">
      <c r="A9" s="5" t="s">
        <v>73</v>
      </c>
      <c r="B9" s="2">
        <v>3798</v>
      </c>
    </row>
    <row r="10" spans="1:2">
      <c r="A10" s="5" t="s">
        <v>81</v>
      </c>
      <c r="B10" s="2">
        <v>3629</v>
      </c>
    </row>
    <row r="11" spans="1:2">
      <c r="A11" s="5" t="s">
        <v>82</v>
      </c>
      <c r="B11" s="2">
        <v>6979</v>
      </c>
    </row>
    <row r="12" spans="1:2">
      <c r="A12" s="5" t="s">
        <v>80</v>
      </c>
      <c r="B12" s="2">
        <v>5561</v>
      </c>
    </row>
    <row r="13" spans="1:2">
      <c r="A13" s="5" t="s">
        <v>83</v>
      </c>
      <c r="B13" s="2">
        <v>2760</v>
      </c>
    </row>
    <row r="14" spans="1:2">
      <c r="A14" s="5" t="s">
        <v>78</v>
      </c>
      <c r="B14" s="2">
        <v>4928</v>
      </c>
    </row>
    <row r="15" spans="1:2">
      <c r="A15" s="5" t="s">
        <v>75</v>
      </c>
      <c r="B15" s="2">
        <v>4709</v>
      </c>
    </row>
    <row r="16" spans="1:2">
      <c r="A16" s="5" t="s">
        <v>87</v>
      </c>
      <c r="B16" s="2">
        <v>57939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A5" sqref="A5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4" t="s">
        <v>86</v>
      </c>
      <c r="B3" t="s">
        <v>85</v>
      </c>
    </row>
    <row r="4" spans="1:2">
      <c r="A4" s="5" t="s">
        <v>22</v>
      </c>
      <c r="B4" s="2">
        <v>9555</v>
      </c>
    </row>
    <row r="5" spans="1:2">
      <c r="A5" s="5" t="s">
        <v>12</v>
      </c>
      <c r="B5" s="2">
        <v>8821</v>
      </c>
    </row>
    <row r="6" spans="1:2">
      <c r="A6" s="5" t="s">
        <v>17</v>
      </c>
      <c r="B6" s="2">
        <v>9270</v>
      </c>
    </row>
    <row r="7" spans="1:2">
      <c r="A7" s="5" t="s">
        <v>19</v>
      </c>
      <c r="B7" s="2">
        <v>9045</v>
      </c>
    </row>
    <row r="8" spans="1:2">
      <c r="A8" s="5" t="s">
        <v>8</v>
      </c>
      <c r="B8" s="2">
        <v>11735</v>
      </c>
    </row>
    <row r="9" spans="1:2">
      <c r="A9" s="5" t="s">
        <v>28</v>
      </c>
      <c r="B9" s="2">
        <v>9513</v>
      </c>
    </row>
    <row r="10" spans="1:2">
      <c r="A10" s="5" t="s">
        <v>87</v>
      </c>
      <c r="B10" s="2">
        <v>57939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0"/>
  <sheetViews>
    <sheetView topLeftCell="A2" workbookViewId="0">
      <selection activeCell="E18" sqref="E18"/>
    </sheetView>
  </sheetViews>
  <sheetFormatPr defaultRowHeight="14.4"/>
  <cols>
    <col min="1" max="1" width="11.88671875" customWidth="1"/>
    <col min="4" max="4" width="10.21875" customWidth="1"/>
    <col min="5" max="5" width="14.77734375" customWidth="1"/>
    <col min="7" max="7" width="16.109375" customWidth="1"/>
    <col min="9" max="9" width="15.3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70</v>
      </c>
      <c r="I1" t="s">
        <v>71</v>
      </c>
      <c r="J1" t="s">
        <v>72</v>
      </c>
    </row>
    <row r="2" spans="1:10">
      <c r="A2" s="1">
        <v>44982</v>
      </c>
      <c r="B2">
        <v>499</v>
      </c>
      <c r="C2">
        <v>94.81</v>
      </c>
      <c r="D2" t="s">
        <v>11</v>
      </c>
      <c r="E2" t="s">
        <v>17</v>
      </c>
      <c r="F2" t="s">
        <v>20</v>
      </c>
      <c r="G2" t="s">
        <v>25</v>
      </c>
      <c r="H2" t="str">
        <f>TEXT(A2,"mmm")</f>
        <v>Feb</v>
      </c>
      <c r="I2">
        <f>MONTH(A2)</f>
        <v>2</v>
      </c>
      <c r="J2">
        <f>YEAR(A2)</f>
        <v>2023</v>
      </c>
    </row>
    <row r="3" spans="1:10">
      <c r="A3" s="1">
        <v>45152</v>
      </c>
      <c r="B3">
        <v>497</v>
      </c>
      <c r="C3">
        <v>134.19</v>
      </c>
      <c r="D3" t="s">
        <v>15</v>
      </c>
      <c r="E3" t="s">
        <v>28</v>
      </c>
      <c r="F3" t="s">
        <v>20</v>
      </c>
      <c r="G3" t="s">
        <v>50</v>
      </c>
      <c r="H3" t="str">
        <f>TEXT(A3,"mmm")</f>
        <v>Aug</v>
      </c>
      <c r="I3">
        <f>MONTH(A3)</f>
        <v>8</v>
      </c>
      <c r="J3">
        <f>YEAR(A3)</f>
        <v>2023</v>
      </c>
    </row>
    <row r="4" spans="1:10">
      <c r="A4" s="1">
        <v>45286</v>
      </c>
      <c r="B4">
        <v>497</v>
      </c>
      <c r="C4">
        <v>89.46</v>
      </c>
      <c r="D4" t="s">
        <v>7</v>
      </c>
      <c r="E4" t="s">
        <v>8</v>
      </c>
      <c r="F4" t="s">
        <v>13</v>
      </c>
      <c r="G4" t="s">
        <v>54</v>
      </c>
      <c r="H4" t="str">
        <f>TEXT(A4,"mmm")</f>
        <v>Dec</v>
      </c>
      <c r="I4">
        <f>MONTH(A4)</f>
        <v>12</v>
      </c>
      <c r="J4">
        <f>YEAR(A4)</f>
        <v>2023</v>
      </c>
    </row>
    <row r="5" spans="1:10">
      <c r="A5" s="1">
        <v>45125</v>
      </c>
      <c r="B5">
        <v>495</v>
      </c>
      <c r="C5">
        <v>108.9</v>
      </c>
      <c r="D5" t="s">
        <v>11</v>
      </c>
      <c r="E5" t="s">
        <v>19</v>
      </c>
      <c r="F5" t="s">
        <v>13</v>
      </c>
      <c r="G5" t="s">
        <v>66</v>
      </c>
      <c r="H5" t="str">
        <f>TEXT(A5,"mmm")</f>
        <v>Jul</v>
      </c>
      <c r="I5">
        <f>MONTH(A5)</f>
        <v>7</v>
      </c>
      <c r="J5">
        <f>YEAR(A5)</f>
        <v>2023</v>
      </c>
    </row>
    <row r="6" spans="1:10">
      <c r="A6" s="1">
        <v>45053</v>
      </c>
      <c r="B6">
        <v>492</v>
      </c>
      <c r="C6">
        <v>73.8</v>
      </c>
      <c r="D6" t="s">
        <v>11</v>
      </c>
      <c r="E6" t="s">
        <v>12</v>
      </c>
      <c r="F6" t="s">
        <v>13</v>
      </c>
      <c r="G6" t="s">
        <v>49</v>
      </c>
      <c r="H6" t="str">
        <f>TEXT(A6,"mmm")</f>
        <v>May</v>
      </c>
      <c r="I6">
        <f>MONTH(A6)</f>
        <v>5</v>
      </c>
      <c r="J6">
        <f>YEAR(A6)</f>
        <v>2023</v>
      </c>
    </row>
    <row r="7" spans="1:10">
      <c r="A7" s="1">
        <v>45174</v>
      </c>
      <c r="B7">
        <v>491</v>
      </c>
      <c r="C7">
        <v>142.38999999999999</v>
      </c>
      <c r="D7" t="s">
        <v>7</v>
      </c>
      <c r="E7" t="s">
        <v>19</v>
      </c>
      <c r="F7" t="s">
        <v>9</v>
      </c>
      <c r="G7" t="s">
        <v>59</v>
      </c>
      <c r="H7" t="str">
        <f>TEXT(A7,"mmm")</f>
        <v>Sep</v>
      </c>
      <c r="I7">
        <f>MONTH(A7)</f>
        <v>9</v>
      </c>
      <c r="J7">
        <f>YEAR(A7)</f>
        <v>2023</v>
      </c>
    </row>
    <row r="8" spans="1:10">
      <c r="A8" s="1">
        <v>45284</v>
      </c>
      <c r="B8">
        <v>489</v>
      </c>
      <c r="C8">
        <v>88.02</v>
      </c>
      <c r="D8" t="s">
        <v>11</v>
      </c>
      <c r="E8" t="s">
        <v>8</v>
      </c>
      <c r="F8" t="s">
        <v>9</v>
      </c>
      <c r="G8" t="s">
        <v>69</v>
      </c>
      <c r="H8" t="str">
        <f>TEXT(A8,"mmm")</f>
        <v>Dec</v>
      </c>
      <c r="I8">
        <f>MONTH(A8)</f>
        <v>12</v>
      </c>
      <c r="J8">
        <f>YEAR(A8)</f>
        <v>2023</v>
      </c>
    </row>
    <row r="9" spans="1:10">
      <c r="A9" s="1">
        <v>45191</v>
      </c>
      <c r="B9">
        <v>488</v>
      </c>
      <c r="C9">
        <v>141.52000000000001</v>
      </c>
      <c r="D9" t="s">
        <v>11</v>
      </c>
      <c r="E9" t="s">
        <v>8</v>
      </c>
      <c r="F9" t="s">
        <v>24</v>
      </c>
      <c r="G9" t="s">
        <v>10</v>
      </c>
      <c r="H9" t="str">
        <f>TEXT(A9,"mmm")</f>
        <v>Sep</v>
      </c>
      <c r="I9">
        <f>MONTH(A9)</f>
        <v>9</v>
      </c>
      <c r="J9">
        <f>YEAR(A9)</f>
        <v>2023</v>
      </c>
    </row>
    <row r="10" spans="1:10">
      <c r="A10" s="1">
        <v>45250</v>
      </c>
      <c r="B10">
        <v>487</v>
      </c>
      <c r="C10">
        <v>68.180000000000007</v>
      </c>
      <c r="D10" t="s">
        <v>7</v>
      </c>
      <c r="E10" t="s">
        <v>22</v>
      </c>
      <c r="F10" t="s">
        <v>9</v>
      </c>
      <c r="G10" t="s">
        <v>26</v>
      </c>
      <c r="H10" t="str">
        <f>TEXT(A10,"mmm")</f>
        <v>Nov</v>
      </c>
      <c r="I10">
        <f>MONTH(A10)</f>
        <v>11</v>
      </c>
      <c r="J10">
        <f>YEAR(A10)</f>
        <v>2023</v>
      </c>
    </row>
    <row r="11" spans="1:10">
      <c r="A11" s="1">
        <v>45195</v>
      </c>
      <c r="B11">
        <v>487</v>
      </c>
      <c r="C11">
        <v>82.79</v>
      </c>
      <c r="D11" t="s">
        <v>11</v>
      </c>
      <c r="E11" t="s">
        <v>8</v>
      </c>
      <c r="F11" t="s">
        <v>24</v>
      </c>
      <c r="G11" t="s">
        <v>33</v>
      </c>
      <c r="H11" t="str">
        <f>TEXT(A11,"mmm")</f>
        <v>Sep</v>
      </c>
      <c r="I11">
        <f>MONTH(A11)</f>
        <v>9</v>
      </c>
      <c r="J11">
        <f>YEAR(A11)</f>
        <v>2023</v>
      </c>
    </row>
    <row r="12" spans="1:10">
      <c r="A12" s="1">
        <v>45051</v>
      </c>
      <c r="B12">
        <v>484</v>
      </c>
      <c r="C12">
        <v>106.48</v>
      </c>
      <c r="D12" t="s">
        <v>11</v>
      </c>
      <c r="E12" t="s">
        <v>22</v>
      </c>
      <c r="F12" t="s">
        <v>9</v>
      </c>
      <c r="G12" t="s">
        <v>35</v>
      </c>
      <c r="H12" t="str">
        <f>TEXT(A12,"mmm")</f>
        <v>May</v>
      </c>
      <c r="I12">
        <f>MONTH(A12)</f>
        <v>5</v>
      </c>
      <c r="J12">
        <f>YEAR(A12)</f>
        <v>2023</v>
      </c>
    </row>
    <row r="13" spans="1:10">
      <c r="A13" s="1">
        <v>45164</v>
      </c>
      <c r="B13">
        <v>483</v>
      </c>
      <c r="C13">
        <v>67.62</v>
      </c>
      <c r="D13" t="s">
        <v>11</v>
      </c>
      <c r="E13" t="s">
        <v>28</v>
      </c>
      <c r="F13" t="s">
        <v>20</v>
      </c>
      <c r="G13" t="s">
        <v>31</v>
      </c>
      <c r="H13" t="str">
        <f>TEXT(A13,"mmm")</f>
        <v>Aug</v>
      </c>
      <c r="I13">
        <f>MONTH(A13)</f>
        <v>8</v>
      </c>
      <c r="J13">
        <f>YEAR(A13)</f>
        <v>2023</v>
      </c>
    </row>
    <row r="14" spans="1:10">
      <c r="A14" s="1">
        <v>45006</v>
      </c>
      <c r="B14">
        <v>478</v>
      </c>
      <c r="C14">
        <v>86.04</v>
      </c>
      <c r="D14" t="s">
        <v>7</v>
      </c>
      <c r="E14" t="s">
        <v>12</v>
      </c>
      <c r="F14" t="s">
        <v>24</v>
      </c>
      <c r="G14" t="s">
        <v>55</v>
      </c>
      <c r="H14" t="str">
        <f>TEXT(A14,"mmm")</f>
        <v>Mar</v>
      </c>
      <c r="I14">
        <f>MONTH(A14)</f>
        <v>3</v>
      </c>
      <c r="J14">
        <f>YEAR(A14)</f>
        <v>2023</v>
      </c>
    </row>
    <row r="15" spans="1:10">
      <c r="A15" s="1">
        <v>45201</v>
      </c>
      <c r="B15">
        <v>476</v>
      </c>
      <c r="C15">
        <v>128.52000000000001</v>
      </c>
      <c r="D15" t="s">
        <v>11</v>
      </c>
      <c r="E15" t="s">
        <v>12</v>
      </c>
      <c r="F15" t="s">
        <v>20</v>
      </c>
      <c r="G15" t="s">
        <v>18</v>
      </c>
      <c r="H15" t="str">
        <f>TEXT(A15,"mmm")</f>
        <v>Oct</v>
      </c>
      <c r="I15">
        <f>MONTH(A15)</f>
        <v>10</v>
      </c>
      <c r="J15">
        <f>YEAR(A15)</f>
        <v>2023</v>
      </c>
    </row>
    <row r="16" spans="1:10">
      <c r="A16" s="1">
        <v>45257</v>
      </c>
      <c r="B16">
        <v>476</v>
      </c>
      <c r="C16">
        <v>57.12</v>
      </c>
      <c r="D16" t="s">
        <v>7</v>
      </c>
      <c r="E16" t="s">
        <v>12</v>
      </c>
      <c r="F16" t="s">
        <v>24</v>
      </c>
      <c r="G16" t="s">
        <v>36</v>
      </c>
      <c r="H16" t="str">
        <f>TEXT(A16,"mmm")</f>
        <v>Nov</v>
      </c>
      <c r="I16">
        <f>MONTH(A16)</f>
        <v>11</v>
      </c>
      <c r="J16">
        <f>YEAR(A16)</f>
        <v>2023</v>
      </c>
    </row>
    <row r="17" spans="1:10">
      <c r="A17" s="1">
        <v>45050</v>
      </c>
      <c r="B17">
        <v>475</v>
      </c>
      <c r="C17">
        <v>57</v>
      </c>
      <c r="D17" t="s">
        <v>11</v>
      </c>
      <c r="E17" t="s">
        <v>17</v>
      </c>
      <c r="F17" t="s">
        <v>24</v>
      </c>
      <c r="G17" t="s">
        <v>44</v>
      </c>
      <c r="H17" t="str">
        <f>TEXT(A17,"mmm")</f>
        <v>May</v>
      </c>
      <c r="I17">
        <f>MONTH(A17)</f>
        <v>5</v>
      </c>
      <c r="J17">
        <f>YEAR(A17)</f>
        <v>2023</v>
      </c>
    </row>
    <row r="18" spans="1:10">
      <c r="A18" s="1">
        <v>44980</v>
      </c>
      <c r="B18">
        <v>472</v>
      </c>
      <c r="C18">
        <v>141.6</v>
      </c>
      <c r="D18" t="s">
        <v>7</v>
      </c>
      <c r="E18" t="s">
        <v>28</v>
      </c>
      <c r="F18" t="s">
        <v>24</v>
      </c>
      <c r="G18" t="s">
        <v>51</v>
      </c>
      <c r="H18" t="str">
        <f>TEXT(A18,"mmm")</f>
        <v>Feb</v>
      </c>
      <c r="I18">
        <f>MONTH(A18)</f>
        <v>2</v>
      </c>
      <c r="J18">
        <f>YEAR(A18)</f>
        <v>2023</v>
      </c>
    </row>
    <row r="19" spans="1:10">
      <c r="A19" s="1">
        <v>44995</v>
      </c>
      <c r="B19">
        <v>470</v>
      </c>
      <c r="C19">
        <v>108.1</v>
      </c>
      <c r="D19" t="s">
        <v>11</v>
      </c>
      <c r="E19" t="s">
        <v>22</v>
      </c>
      <c r="F19" t="s">
        <v>13</v>
      </c>
      <c r="G19" t="s">
        <v>25</v>
      </c>
      <c r="H19" t="str">
        <f>TEXT(A19,"mmm")</f>
        <v>Mar</v>
      </c>
      <c r="I19">
        <f>MONTH(A19)</f>
        <v>3</v>
      </c>
      <c r="J19">
        <f>YEAR(A19)</f>
        <v>2023</v>
      </c>
    </row>
    <row r="20" spans="1:10">
      <c r="A20" s="1">
        <v>45023</v>
      </c>
      <c r="B20">
        <v>468</v>
      </c>
      <c r="C20">
        <v>131.04</v>
      </c>
      <c r="D20" t="s">
        <v>15</v>
      </c>
      <c r="E20" t="s">
        <v>22</v>
      </c>
      <c r="F20" t="s">
        <v>20</v>
      </c>
      <c r="G20" t="s">
        <v>47</v>
      </c>
      <c r="H20" t="str">
        <f>TEXT(A20,"mmm")</f>
        <v>Apr</v>
      </c>
      <c r="I20">
        <f>MONTH(A20)</f>
        <v>4</v>
      </c>
      <c r="J20">
        <f>YEAR(A20)</f>
        <v>2023</v>
      </c>
    </row>
    <row r="21" spans="1:10">
      <c r="A21" s="1">
        <v>45284</v>
      </c>
      <c r="B21">
        <v>466</v>
      </c>
      <c r="C21">
        <v>79.22</v>
      </c>
      <c r="D21" t="s">
        <v>7</v>
      </c>
      <c r="E21" t="s">
        <v>22</v>
      </c>
      <c r="F21" t="s">
        <v>20</v>
      </c>
      <c r="G21" t="s">
        <v>63</v>
      </c>
      <c r="H21" t="str">
        <f>TEXT(A21,"mmm")</f>
        <v>Dec</v>
      </c>
      <c r="I21">
        <f>MONTH(A21)</f>
        <v>12</v>
      </c>
      <c r="J21">
        <f>YEAR(A21)</f>
        <v>2023</v>
      </c>
    </row>
    <row r="22" spans="1:10">
      <c r="A22" s="1">
        <v>45156</v>
      </c>
      <c r="B22">
        <v>461</v>
      </c>
      <c r="C22">
        <v>50.71</v>
      </c>
      <c r="D22" t="s">
        <v>7</v>
      </c>
      <c r="E22" t="s">
        <v>8</v>
      </c>
      <c r="F22" t="s">
        <v>13</v>
      </c>
      <c r="G22" t="s">
        <v>67</v>
      </c>
      <c r="H22" t="str">
        <f>TEXT(A22,"mmm")</f>
        <v>Aug</v>
      </c>
      <c r="I22">
        <f>MONTH(A22)</f>
        <v>8</v>
      </c>
      <c r="J22">
        <f>YEAR(A22)</f>
        <v>2023</v>
      </c>
    </row>
    <row r="23" spans="1:10">
      <c r="A23" s="1">
        <v>45162</v>
      </c>
      <c r="B23">
        <v>456</v>
      </c>
      <c r="C23">
        <v>63.84</v>
      </c>
      <c r="D23" t="s">
        <v>7</v>
      </c>
      <c r="E23" t="s">
        <v>28</v>
      </c>
      <c r="F23" t="s">
        <v>13</v>
      </c>
      <c r="G23" t="s">
        <v>32</v>
      </c>
      <c r="H23" t="str">
        <f>TEXT(A23,"mmm")</f>
        <v>Aug</v>
      </c>
      <c r="I23">
        <f>MONTH(A23)</f>
        <v>8</v>
      </c>
      <c r="J23">
        <f>YEAR(A23)</f>
        <v>2023</v>
      </c>
    </row>
    <row r="24" spans="1:10">
      <c r="A24" s="1">
        <v>45176</v>
      </c>
      <c r="B24">
        <v>455</v>
      </c>
      <c r="C24">
        <v>91</v>
      </c>
      <c r="D24" t="s">
        <v>7</v>
      </c>
      <c r="E24" t="s">
        <v>19</v>
      </c>
      <c r="F24" t="s">
        <v>13</v>
      </c>
      <c r="G24" t="s">
        <v>38</v>
      </c>
      <c r="H24" t="str">
        <f>TEXT(A24,"mmm")</f>
        <v>Sep</v>
      </c>
      <c r="I24">
        <f>MONTH(A24)</f>
        <v>9</v>
      </c>
      <c r="J24">
        <f>YEAR(A24)</f>
        <v>2023</v>
      </c>
    </row>
    <row r="25" spans="1:10">
      <c r="A25" s="1">
        <v>44994</v>
      </c>
      <c r="B25">
        <v>450</v>
      </c>
      <c r="C25">
        <v>63</v>
      </c>
      <c r="D25" t="s">
        <v>15</v>
      </c>
      <c r="E25" t="s">
        <v>22</v>
      </c>
      <c r="F25" t="s">
        <v>13</v>
      </c>
      <c r="G25" t="s">
        <v>18</v>
      </c>
      <c r="H25" t="str">
        <f>TEXT(A25,"mmm")</f>
        <v>Mar</v>
      </c>
      <c r="I25">
        <f>MONTH(A25)</f>
        <v>3</v>
      </c>
      <c r="J25">
        <f>YEAR(A25)</f>
        <v>2023</v>
      </c>
    </row>
    <row r="26" spans="1:10">
      <c r="A26" s="1">
        <v>45214</v>
      </c>
      <c r="B26">
        <v>448</v>
      </c>
      <c r="C26">
        <v>44.8</v>
      </c>
      <c r="D26" t="s">
        <v>11</v>
      </c>
      <c r="E26" t="s">
        <v>22</v>
      </c>
      <c r="F26" t="s">
        <v>20</v>
      </c>
      <c r="G26" t="s">
        <v>37</v>
      </c>
      <c r="H26" t="str">
        <f>TEXT(A26,"mmm")</f>
        <v>Oct</v>
      </c>
      <c r="I26">
        <f>MONTH(A26)</f>
        <v>10</v>
      </c>
      <c r="J26">
        <f>YEAR(A26)</f>
        <v>2023</v>
      </c>
    </row>
    <row r="27" spans="1:10">
      <c r="A27" s="1">
        <v>45243</v>
      </c>
      <c r="B27">
        <v>447</v>
      </c>
      <c r="C27">
        <v>107.28</v>
      </c>
      <c r="D27" t="s">
        <v>15</v>
      </c>
      <c r="E27" t="s">
        <v>19</v>
      </c>
      <c r="F27" t="s">
        <v>13</v>
      </c>
      <c r="G27" t="s">
        <v>40</v>
      </c>
      <c r="H27" t="str">
        <f>TEXT(A27,"mmm")</f>
        <v>Nov</v>
      </c>
      <c r="I27">
        <f>MONTH(A27)</f>
        <v>11</v>
      </c>
      <c r="J27">
        <f>YEAR(A27)</f>
        <v>2023</v>
      </c>
    </row>
    <row r="28" spans="1:10">
      <c r="A28" s="1">
        <v>44952</v>
      </c>
      <c r="B28">
        <v>446</v>
      </c>
      <c r="C28">
        <v>57.98</v>
      </c>
      <c r="D28" t="s">
        <v>15</v>
      </c>
      <c r="E28" t="s">
        <v>12</v>
      </c>
      <c r="F28" t="s">
        <v>13</v>
      </c>
      <c r="G28" t="s">
        <v>53</v>
      </c>
      <c r="H28" t="str">
        <f>TEXT(A28,"mmm")</f>
        <v>Jan</v>
      </c>
      <c r="I28">
        <f>MONTH(A28)</f>
        <v>1</v>
      </c>
      <c r="J28">
        <f>YEAR(A28)</f>
        <v>2023</v>
      </c>
    </row>
    <row r="29" spans="1:10">
      <c r="A29" s="1">
        <v>45184</v>
      </c>
      <c r="B29">
        <v>443</v>
      </c>
      <c r="C29">
        <v>106.32</v>
      </c>
      <c r="D29" t="s">
        <v>11</v>
      </c>
      <c r="E29" t="s">
        <v>19</v>
      </c>
      <c r="F29" t="s">
        <v>9</v>
      </c>
      <c r="G29" t="s">
        <v>42</v>
      </c>
      <c r="H29" t="str">
        <f>TEXT(A29,"mmm")</f>
        <v>Sep</v>
      </c>
      <c r="I29">
        <f>MONTH(A29)</f>
        <v>9</v>
      </c>
      <c r="J29">
        <f>YEAR(A29)</f>
        <v>2023</v>
      </c>
    </row>
    <row r="30" spans="1:10">
      <c r="A30" s="1">
        <v>45025</v>
      </c>
      <c r="B30">
        <v>443</v>
      </c>
      <c r="C30">
        <v>93.03</v>
      </c>
      <c r="D30" t="s">
        <v>11</v>
      </c>
      <c r="E30" t="s">
        <v>22</v>
      </c>
      <c r="F30" t="s">
        <v>20</v>
      </c>
      <c r="G30" t="s">
        <v>10</v>
      </c>
      <c r="H30" t="str">
        <f>TEXT(A30,"mmm")</f>
        <v>Apr</v>
      </c>
      <c r="I30">
        <f>MONTH(A30)</f>
        <v>4</v>
      </c>
      <c r="J30">
        <f>YEAR(A30)</f>
        <v>2023</v>
      </c>
    </row>
    <row r="31" spans="1:10">
      <c r="A31" s="1">
        <v>45154</v>
      </c>
      <c r="B31">
        <v>442</v>
      </c>
      <c r="C31">
        <v>75.14</v>
      </c>
      <c r="D31" t="s">
        <v>7</v>
      </c>
      <c r="E31" t="s">
        <v>19</v>
      </c>
      <c r="F31" t="s">
        <v>24</v>
      </c>
      <c r="G31" t="s">
        <v>69</v>
      </c>
      <c r="H31" t="str">
        <f>TEXT(A31,"mmm")</f>
        <v>Aug</v>
      </c>
      <c r="I31">
        <f>MONTH(A31)</f>
        <v>8</v>
      </c>
      <c r="J31">
        <f>YEAR(A31)</f>
        <v>2023</v>
      </c>
    </row>
    <row r="32" spans="1:10">
      <c r="A32" s="1">
        <v>44950</v>
      </c>
      <c r="B32">
        <v>439</v>
      </c>
      <c r="C32">
        <v>100.97</v>
      </c>
      <c r="D32" t="s">
        <v>15</v>
      </c>
      <c r="E32" t="s">
        <v>22</v>
      </c>
      <c r="F32" t="s">
        <v>24</v>
      </c>
      <c r="G32" t="s">
        <v>61</v>
      </c>
      <c r="H32" t="str">
        <f>TEXT(A32,"mmm")</f>
        <v>Jan</v>
      </c>
      <c r="I32">
        <f>MONTH(A32)</f>
        <v>1</v>
      </c>
      <c r="J32">
        <f>YEAR(A32)</f>
        <v>2023</v>
      </c>
    </row>
    <row r="33" spans="1:10">
      <c r="A33" s="1">
        <v>45184</v>
      </c>
      <c r="B33">
        <v>433</v>
      </c>
      <c r="C33">
        <v>112.58</v>
      </c>
      <c r="D33" t="s">
        <v>11</v>
      </c>
      <c r="E33" t="s">
        <v>12</v>
      </c>
      <c r="F33" t="s">
        <v>13</v>
      </c>
      <c r="G33" t="s">
        <v>14</v>
      </c>
      <c r="H33" t="str">
        <f>TEXT(A33,"mmm")</f>
        <v>Sep</v>
      </c>
      <c r="I33">
        <f>MONTH(A33)</f>
        <v>9</v>
      </c>
      <c r="J33">
        <f>YEAR(A33)</f>
        <v>2023</v>
      </c>
    </row>
    <row r="34" spans="1:10">
      <c r="A34" s="1">
        <v>45023</v>
      </c>
      <c r="B34">
        <v>432</v>
      </c>
      <c r="C34">
        <v>129.6</v>
      </c>
      <c r="D34" t="s">
        <v>11</v>
      </c>
      <c r="E34" t="s">
        <v>28</v>
      </c>
      <c r="F34" t="s">
        <v>20</v>
      </c>
      <c r="G34" t="s">
        <v>56</v>
      </c>
      <c r="H34" t="str">
        <f>TEXT(A34,"mmm")</f>
        <v>Apr</v>
      </c>
      <c r="I34">
        <f>MONTH(A34)</f>
        <v>4</v>
      </c>
      <c r="J34">
        <f>YEAR(A34)</f>
        <v>2023</v>
      </c>
    </row>
    <row r="35" spans="1:10">
      <c r="A35" s="1">
        <v>45023</v>
      </c>
      <c r="B35">
        <v>432</v>
      </c>
      <c r="C35">
        <v>99.36</v>
      </c>
      <c r="D35" t="s">
        <v>7</v>
      </c>
      <c r="E35" t="s">
        <v>17</v>
      </c>
      <c r="F35" t="s">
        <v>20</v>
      </c>
      <c r="G35" t="s">
        <v>59</v>
      </c>
      <c r="H35" t="str">
        <f>TEXT(A35,"mmm")</f>
        <v>Apr</v>
      </c>
      <c r="I35">
        <f>MONTH(A35)</f>
        <v>4</v>
      </c>
      <c r="J35">
        <f>YEAR(A35)</f>
        <v>2023</v>
      </c>
    </row>
    <row r="36" spans="1:10">
      <c r="A36" s="1">
        <v>45119</v>
      </c>
      <c r="B36">
        <v>427</v>
      </c>
      <c r="C36">
        <v>111.02</v>
      </c>
      <c r="D36" t="s">
        <v>15</v>
      </c>
      <c r="E36" t="s">
        <v>28</v>
      </c>
      <c r="F36" t="s">
        <v>20</v>
      </c>
      <c r="G36" t="s">
        <v>39</v>
      </c>
      <c r="H36" t="str">
        <f>TEXT(A36,"mmm")</f>
        <v>Jul</v>
      </c>
      <c r="I36">
        <f>MONTH(A36)</f>
        <v>7</v>
      </c>
      <c r="J36">
        <f>YEAR(A36)</f>
        <v>2023</v>
      </c>
    </row>
    <row r="37" spans="1:10">
      <c r="A37" s="1">
        <v>45118</v>
      </c>
      <c r="B37">
        <v>425</v>
      </c>
      <c r="C37">
        <v>110.5</v>
      </c>
      <c r="D37" t="s">
        <v>15</v>
      </c>
      <c r="E37" t="s">
        <v>8</v>
      </c>
      <c r="F37" t="s">
        <v>20</v>
      </c>
      <c r="G37" t="s">
        <v>44</v>
      </c>
      <c r="H37" t="str">
        <f>TEXT(A37,"mmm")</f>
        <v>Jul</v>
      </c>
      <c r="I37">
        <f>MONTH(A37)</f>
        <v>7</v>
      </c>
      <c r="J37">
        <f>YEAR(A37)</f>
        <v>2023</v>
      </c>
    </row>
    <row r="38" spans="1:10">
      <c r="A38" s="1">
        <v>44952</v>
      </c>
      <c r="B38">
        <v>424</v>
      </c>
      <c r="C38">
        <v>76.319999999999993</v>
      </c>
      <c r="D38" t="s">
        <v>7</v>
      </c>
      <c r="E38" t="s">
        <v>8</v>
      </c>
      <c r="F38" t="s">
        <v>24</v>
      </c>
      <c r="G38" t="s">
        <v>25</v>
      </c>
      <c r="H38" t="str">
        <f>TEXT(A38,"mmm")</f>
        <v>Jan</v>
      </c>
      <c r="I38">
        <f>MONTH(A38)</f>
        <v>1</v>
      </c>
      <c r="J38">
        <f>YEAR(A38)</f>
        <v>2023</v>
      </c>
    </row>
    <row r="39" spans="1:10">
      <c r="A39" s="1">
        <v>44993</v>
      </c>
      <c r="B39">
        <v>422</v>
      </c>
      <c r="C39">
        <v>92.84</v>
      </c>
      <c r="D39" t="s">
        <v>11</v>
      </c>
      <c r="E39" t="s">
        <v>8</v>
      </c>
      <c r="F39" t="s">
        <v>24</v>
      </c>
      <c r="G39" t="s">
        <v>57</v>
      </c>
      <c r="H39" t="str">
        <f>TEXT(A39,"mmm")</f>
        <v>Mar</v>
      </c>
      <c r="I39">
        <f>MONTH(A39)</f>
        <v>3</v>
      </c>
      <c r="J39">
        <f>YEAR(A39)</f>
        <v>2023</v>
      </c>
    </row>
    <row r="40" spans="1:10">
      <c r="A40" s="1">
        <v>44971</v>
      </c>
      <c r="B40">
        <v>417</v>
      </c>
      <c r="C40">
        <v>120.93</v>
      </c>
      <c r="D40" t="s">
        <v>7</v>
      </c>
      <c r="E40" t="s">
        <v>22</v>
      </c>
      <c r="F40" t="s">
        <v>13</v>
      </c>
      <c r="G40" t="s">
        <v>52</v>
      </c>
      <c r="H40" t="str">
        <f>TEXT(A40,"mmm")</f>
        <v>Feb</v>
      </c>
      <c r="I40">
        <f>MONTH(A40)</f>
        <v>2</v>
      </c>
      <c r="J40">
        <f>YEAR(A40)</f>
        <v>2023</v>
      </c>
    </row>
    <row r="41" spans="1:10">
      <c r="A41" s="1">
        <v>45096</v>
      </c>
      <c r="B41">
        <v>415</v>
      </c>
      <c r="C41">
        <v>116.2</v>
      </c>
      <c r="D41" t="s">
        <v>7</v>
      </c>
      <c r="E41" t="s">
        <v>8</v>
      </c>
      <c r="F41" t="s">
        <v>9</v>
      </c>
      <c r="G41" t="s">
        <v>10</v>
      </c>
      <c r="H41" t="str">
        <f>TEXT(A41,"mmm")</f>
        <v>Jun</v>
      </c>
      <c r="I41">
        <f>MONTH(A41)</f>
        <v>6</v>
      </c>
      <c r="J41">
        <f>YEAR(A41)</f>
        <v>2023</v>
      </c>
    </row>
    <row r="42" spans="1:10">
      <c r="A42" s="1">
        <v>45129</v>
      </c>
      <c r="B42">
        <v>414</v>
      </c>
      <c r="C42">
        <v>41.4</v>
      </c>
      <c r="D42" t="s">
        <v>7</v>
      </c>
      <c r="E42" t="s">
        <v>8</v>
      </c>
      <c r="F42" t="s">
        <v>13</v>
      </c>
      <c r="G42" t="s">
        <v>30</v>
      </c>
      <c r="H42" t="str">
        <f>TEXT(A42,"mmm")</f>
        <v>Jul</v>
      </c>
      <c r="I42">
        <f>MONTH(A42)</f>
        <v>7</v>
      </c>
      <c r="J42">
        <f>YEAR(A42)</f>
        <v>2023</v>
      </c>
    </row>
    <row r="43" spans="1:10">
      <c r="A43" s="1">
        <v>44989</v>
      </c>
      <c r="B43">
        <v>414</v>
      </c>
      <c r="C43">
        <v>49.68</v>
      </c>
      <c r="D43" t="s">
        <v>11</v>
      </c>
      <c r="E43" t="s">
        <v>17</v>
      </c>
      <c r="F43" t="s">
        <v>9</v>
      </c>
      <c r="G43" t="s">
        <v>60</v>
      </c>
      <c r="H43" t="str">
        <f>TEXT(A43,"mmm")</f>
        <v>Mar</v>
      </c>
      <c r="I43">
        <f>MONTH(A43)</f>
        <v>3</v>
      </c>
      <c r="J43">
        <f>YEAR(A43)</f>
        <v>2023</v>
      </c>
    </row>
    <row r="44" spans="1:10">
      <c r="A44" s="1">
        <v>44927</v>
      </c>
      <c r="B44">
        <v>410</v>
      </c>
      <c r="C44">
        <v>77.900000000000006</v>
      </c>
      <c r="D44" t="s">
        <v>11</v>
      </c>
      <c r="E44" t="s">
        <v>12</v>
      </c>
      <c r="F44" t="s">
        <v>20</v>
      </c>
      <c r="G44" t="s">
        <v>32</v>
      </c>
      <c r="H44" t="str">
        <f>TEXT(A44,"mmm")</f>
        <v>Jan</v>
      </c>
      <c r="I44">
        <f>MONTH(A44)</f>
        <v>1</v>
      </c>
      <c r="J44">
        <f>YEAR(A44)</f>
        <v>2023</v>
      </c>
    </row>
    <row r="45" spans="1:10">
      <c r="A45" s="1">
        <v>44998</v>
      </c>
      <c r="B45">
        <v>409</v>
      </c>
      <c r="C45">
        <v>57.26</v>
      </c>
      <c r="D45" t="s">
        <v>7</v>
      </c>
      <c r="E45" t="s">
        <v>22</v>
      </c>
      <c r="F45" t="s">
        <v>24</v>
      </c>
      <c r="G45" t="s">
        <v>53</v>
      </c>
      <c r="H45" t="str">
        <f>TEXT(A45,"mmm")</f>
        <v>Mar</v>
      </c>
      <c r="I45">
        <f>MONTH(A45)</f>
        <v>3</v>
      </c>
      <c r="J45">
        <f>YEAR(A45)</f>
        <v>2023</v>
      </c>
    </row>
    <row r="46" spans="1:10">
      <c r="A46" s="1">
        <v>45058</v>
      </c>
      <c r="B46">
        <v>406</v>
      </c>
      <c r="C46">
        <v>73.08</v>
      </c>
      <c r="D46" t="s">
        <v>7</v>
      </c>
      <c r="E46" t="s">
        <v>12</v>
      </c>
      <c r="F46" t="s">
        <v>20</v>
      </c>
      <c r="G46" t="s">
        <v>61</v>
      </c>
      <c r="H46" t="str">
        <f>TEXT(A46,"mmm")</f>
        <v>May</v>
      </c>
      <c r="I46">
        <f>MONTH(A46)</f>
        <v>5</v>
      </c>
      <c r="J46">
        <f>YEAR(A46)</f>
        <v>2023</v>
      </c>
    </row>
    <row r="47" spans="1:10">
      <c r="A47" s="1">
        <v>45021</v>
      </c>
      <c r="B47">
        <v>403</v>
      </c>
      <c r="C47">
        <v>104.78</v>
      </c>
      <c r="D47" t="s">
        <v>11</v>
      </c>
      <c r="E47" t="s">
        <v>19</v>
      </c>
      <c r="F47" t="s">
        <v>24</v>
      </c>
      <c r="G47" t="s">
        <v>42</v>
      </c>
      <c r="H47" t="str">
        <f>TEXT(A47,"mmm")</f>
        <v>Apr</v>
      </c>
      <c r="I47">
        <f>MONTH(A47)</f>
        <v>4</v>
      </c>
      <c r="J47">
        <f>YEAR(A47)</f>
        <v>2023</v>
      </c>
    </row>
    <row r="48" spans="1:10">
      <c r="A48" s="1">
        <v>45183</v>
      </c>
      <c r="B48">
        <v>402</v>
      </c>
      <c r="C48">
        <v>108.54</v>
      </c>
      <c r="D48" t="s">
        <v>7</v>
      </c>
      <c r="E48" t="s">
        <v>12</v>
      </c>
      <c r="F48" t="s">
        <v>24</v>
      </c>
      <c r="G48" t="s">
        <v>30</v>
      </c>
      <c r="H48" t="str">
        <f>TEXT(A48,"mmm")</f>
        <v>Sep</v>
      </c>
      <c r="I48">
        <f>MONTH(A48)</f>
        <v>9</v>
      </c>
      <c r="J48">
        <f>YEAR(A48)</f>
        <v>2023</v>
      </c>
    </row>
    <row r="49" spans="1:10">
      <c r="A49" s="1">
        <v>45195</v>
      </c>
      <c r="B49">
        <v>399</v>
      </c>
      <c r="C49">
        <v>51.87</v>
      </c>
      <c r="D49" t="s">
        <v>15</v>
      </c>
      <c r="E49" t="s">
        <v>19</v>
      </c>
      <c r="F49" t="s">
        <v>24</v>
      </c>
      <c r="G49" t="s">
        <v>23</v>
      </c>
      <c r="H49" t="str">
        <f>TEXT(A49,"mmm")</f>
        <v>Sep</v>
      </c>
      <c r="I49">
        <f>MONTH(A49)</f>
        <v>9</v>
      </c>
      <c r="J49">
        <f>YEAR(A49)</f>
        <v>2023</v>
      </c>
    </row>
    <row r="50" spans="1:10">
      <c r="A50" s="1">
        <v>45020</v>
      </c>
      <c r="B50">
        <v>396</v>
      </c>
      <c r="C50">
        <v>106.92</v>
      </c>
      <c r="D50" t="s">
        <v>15</v>
      </c>
      <c r="E50" t="s">
        <v>12</v>
      </c>
      <c r="F50" t="s">
        <v>20</v>
      </c>
      <c r="G50" t="s">
        <v>53</v>
      </c>
      <c r="H50" t="str">
        <f>TEXT(A50,"mmm")</f>
        <v>Apr</v>
      </c>
      <c r="I50">
        <f>MONTH(A50)</f>
        <v>4</v>
      </c>
      <c r="J50">
        <f>YEAR(A50)</f>
        <v>2023</v>
      </c>
    </row>
    <row r="51" spans="1:10">
      <c r="A51" s="1">
        <v>45164</v>
      </c>
      <c r="B51">
        <v>393</v>
      </c>
      <c r="C51">
        <v>51.09</v>
      </c>
      <c r="D51" t="s">
        <v>11</v>
      </c>
      <c r="E51" t="s">
        <v>8</v>
      </c>
      <c r="F51" t="s">
        <v>24</v>
      </c>
      <c r="G51" t="s">
        <v>44</v>
      </c>
      <c r="H51" t="str">
        <f>TEXT(A51,"mmm")</f>
        <v>Aug</v>
      </c>
      <c r="I51">
        <f>MONTH(A51)</f>
        <v>8</v>
      </c>
      <c r="J51">
        <f>YEAR(A51)</f>
        <v>2023</v>
      </c>
    </row>
    <row r="52" spans="1:10">
      <c r="A52" s="1">
        <v>45027</v>
      </c>
      <c r="B52">
        <v>391</v>
      </c>
      <c r="C52">
        <v>46.92</v>
      </c>
      <c r="D52" t="s">
        <v>7</v>
      </c>
      <c r="E52" t="s">
        <v>22</v>
      </c>
      <c r="F52" t="s">
        <v>24</v>
      </c>
      <c r="G52" t="s">
        <v>55</v>
      </c>
      <c r="H52" t="str">
        <f>TEXT(A52,"mmm")</f>
        <v>Apr</v>
      </c>
      <c r="I52">
        <f>MONTH(A52)</f>
        <v>4</v>
      </c>
      <c r="J52">
        <f>YEAR(A52)</f>
        <v>2023</v>
      </c>
    </row>
    <row r="53" spans="1:10">
      <c r="A53" s="1">
        <v>45287</v>
      </c>
      <c r="B53">
        <v>390</v>
      </c>
      <c r="C53">
        <v>39</v>
      </c>
      <c r="D53" t="s">
        <v>11</v>
      </c>
      <c r="E53" t="s">
        <v>28</v>
      </c>
      <c r="F53" t="s">
        <v>9</v>
      </c>
      <c r="G53" t="s">
        <v>65</v>
      </c>
      <c r="H53" t="str">
        <f>TEXT(A53,"mmm")</f>
        <v>Dec</v>
      </c>
      <c r="I53">
        <f>MONTH(A53)</f>
        <v>12</v>
      </c>
      <c r="J53">
        <f>YEAR(A53)</f>
        <v>2023</v>
      </c>
    </row>
    <row r="54" spans="1:10">
      <c r="A54" s="1">
        <v>45236</v>
      </c>
      <c r="B54">
        <v>388</v>
      </c>
      <c r="C54">
        <v>54.32</v>
      </c>
      <c r="D54" t="s">
        <v>15</v>
      </c>
      <c r="E54" t="s">
        <v>8</v>
      </c>
      <c r="F54" t="s">
        <v>9</v>
      </c>
      <c r="G54" t="s">
        <v>35</v>
      </c>
      <c r="H54" t="str">
        <f>TEXT(A54,"mmm")</f>
        <v>Nov</v>
      </c>
      <c r="I54">
        <f>MONTH(A54)</f>
        <v>11</v>
      </c>
      <c r="J54">
        <f>YEAR(A54)</f>
        <v>2023</v>
      </c>
    </row>
    <row r="55" spans="1:10">
      <c r="A55" s="1">
        <v>45092</v>
      </c>
      <c r="B55">
        <v>384</v>
      </c>
      <c r="C55">
        <v>53.76</v>
      </c>
      <c r="D55" t="s">
        <v>11</v>
      </c>
      <c r="E55" t="s">
        <v>19</v>
      </c>
      <c r="F55" t="s">
        <v>9</v>
      </c>
      <c r="G55" t="s">
        <v>33</v>
      </c>
      <c r="H55" t="str">
        <f>TEXT(A55,"mmm")</f>
        <v>Jun</v>
      </c>
      <c r="I55">
        <f>MONTH(A55)</f>
        <v>6</v>
      </c>
      <c r="J55">
        <f>YEAR(A55)</f>
        <v>2023</v>
      </c>
    </row>
    <row r="56" spans="1:10">
      <c r="A56" s="1">
        <v>45191</v>
      </c>
      <c r="B56">
        <v>384</v>
      </c>
      <c r="C56">
        <v>84.48</v>
      </c>
      <c r="D56" t="s">
        <v>11</v>
      </c>
      <c r="E56" t="s">
        <v>17</v>
      </c>
      <c r="F56" t="s">
        <v>9</v>
      </c>
      <c r="G56" t="s">
        <v>56</v>
      </c>
      <c r="H56" t="str">
        <f>TEXT(A56,"mmm")</f>
        <v>Sep</v>
      </c>
      <c r="I56">
        <f>MONTH(A56)</f>
        <v>9</v>
      </c>
      <c r="J56">
        <f>YEAR(A56)</f>
        <v>2023</v>
      </c>
    </row>
    <row r="57" spans="1:10">
      <c r="A57" s="1">
        <v>44927</v>
      </c>
      <c r="B57">
        <v>381</v>
      </c>
      <c r="C57">
        <v>49.53</v>
      </c>
      <c r="D57" t="s">
        <v>7</v>
      </c>
      <c r="E57" t="s">
        <v>19</v>
      </c>
      <c r="F57" t="s">
        <v>9</v>
      </c>
      <c r="G57" t="s">
        <v>30</v>
      </c>
      <c r="H57" t="str">
        <f>TEXT(A57,"mmm")</f>
        <v>Jan</v>
      </c>
      <c r="I57">
        <f>MONTH(A57)</f>
        <v>1</v>
      </c>
      <c r="J57">
        <f>YEAR(A57)</f>
        <v>2023</v>
      </c>
    </row>
    <row r="58" spans="1:10">
      <c r="A58" s="1">
        <v>45146</v>
      </c>
      <c r="B58">
        <v>381</v>
      </c>
      <c r="C58">
        <v>53.34</v>
      </c>
      <c r="D58" t="s">
        <v>11</v>
      </c>
      <c r="E58" t="s">
        <v>28</v>
      </c>
      <c r="F58" t="s">
        <v>13</v>
      </c>
      <c r="G58" t="s">
        <v>65</v>
      </c>
      <c r="H58" t="str">
        <f>TEXT(A58,"mmm")</f>
        <v>Aug</v>
      </c>
      <c r="I58">
        <f>MONTH(A58)</f>
        <v>8</v>
      </c>
      <c r="J58">
        <f>YEAR(A58)</f>
        <v>2023</v>
      </c>
    </row>
    <row r="59" spans="1:10">
      <c r="A59" s="1">
        <v>44953</v>
      </c>
      <c r="B59">
        <v>379</v>
      </c>
      <c r="C59">
        <v>90.96</v>
      </c>
      <c r="D59" t="s">
        <v>15</v>
      </c>
      <c r="E59" t="s">
        <v>19</v>
      </c>
      <c r="F59" t="s">
        <v>20</v>
      </c>
      <c r="G59" t="s">
        <v>40</v>
      </c>
      <c r="H59" t="str">
        <f>TEXT(A59,"mmm")</f>
        <v>Jan</v>
      </c>
      <c r="I59">
        <f>MONTH(A59)</f>
        <v>1</v>
      </c>
      <c r="J59">
        <f>YEAR(A59)</f>
        <v>2023</v>
      </c>
    </row>
    <row r="60" spans="1:10">
      <c r="A60" s="1">
        <v>45032</v>
      </c>
      <c r="B60">
        <v>377</v>
      </c>
      <c r="C60">
        <v>41.47</v>
      </c>
      <c r="D60" t="s">
        <v>15</v>
      </c>
      <c r="E60" t="s">
        <v>17</v>
      </c>
      <c r="F60" t="s">
        <v>24</v>
      </c>
      <c r="G60" t="s">
        <v>21</v>
      </c>
      <c r="H60" t="str">
        <f>TEXT(A60,"mmm")</f>
        <v>Apr</v>
      </c>
      <c r="I60">
        <f>MONTH(A60)</f>
        <v>4</v>
      </c>
      <c r="J60">
        <f>YEAR(A60)</f>
        <v>2023</v>
      </c>
    </row>
    <row r="61" spans="1:10">
      <c r="A61" s="1">
        <v>45050</v>
      </c>
      <c r="B61">
        <v>374</v>
      </c>
      <c r="C61">
        <v>74.8</v>
      </c>
      <c r="D61" t="s">
        <v>7</v>
      </c>
      <c r="E61" t="s">
        <v>19</v>
      </c>
      <c r="F61" t="s">
        <v>20</v>
      </c>
      <c r="G61" t="s">
        <v>21</v>
      </c>
      <c r="H61" t="str">
        <f>TEXT(A61,"mmm")</f>
        <v>May</v>
      </c>
      <c r="I61">
        <f>MONTH(A61)</f>
        <v>5</v>
      </c>
      <c r="J61">
        <f>YEAR(A61)</f>
        <v>2023</v>
      </c>
    </row>
    <row r="62" spans="1:10">
      <c r="A62" s="1">
        <v>45159</v>
      </c>
      <c r="B62">
        <v>374</v>
      </c>
      <c r="C62">
        <v>63.58</v>
      </c>
      <c r="D62" t="s">
        <v>11</v>
      </c>
      <c r="E62" t="s">
        <v>19</v>
      </c>
      <c r="F62" t="s">
        <v>20</v>
      </c>
      <c r="G62" t="s">
        <v>49</v>
      </c>
      <c r="H62" t="str">
        <f>TEXT(A62,"mmm")</f>
        <v>Aug</v>
      </c>
      <c r="I62">
        <f>MONTH(A62)</f>
        <v>8</v>
      </c>
      <c r="J62">
        <f>YEAR(A62)</f>
        <v>2023</v>
      </c>
    </row>
    <row r="63" spans="1:10">
      <c r="A63" s="1">
        <v>44934</v>
      </c>
      <c r="B63">
        <v>372</v>
      </c>
      <c r="C63">
        <v>78.12</v>
      </c>
      <c r="D63" t="s">
        <v>11</v>
      </c>
      <c r="E63" t="s">
        <v>22</v>
      </c>
      <c r="F63" t="s">
        <v>24</v>
      </c>
      <c r="G63" t="s">
        <v>14</v>
      </c>
      <c r="H63" t="str">
        <f>TEXT(A63,"mmm")</f>
        <v>Jan</v>
      </c>
      <c r="I63">
        <f>MONTH(A63)</f>
        <v>1</v>
      </c>
      <c r="J63">
        <f>YEAR(A63)</f>
        <v>2023</v>
      </c>
    </row>
    <row r="64" spans="1:10">
      <c r="A64" s="1">
        <v>45191</v>
      </c>
      <c r="B64">
        <v>369</v>
      </c>
      <c r="C64">
        <v>81.180000000000007</v>
      </c>
      <c r="D64" t="s">
        <v>7</v>
      </c>
      <c r="E64" t="s">
        <v>19</v>
      </c>
      <c r="F64" t="s">
        <v>13</v>
      </c>
      <c r="G64" t="s">
        <v>27</v>
      </c>
      <c r="H64" t="str">
        <f>TEXT(A64,"mmm")</f>
        <v>Sep</v>
      </c>
      <c r="I64">
        <f>MONTH(A64)</f>
        <v>9</v>
      </c>
      <c r="J64">
        <f>YEAR(A64)</f>
        <v>2023</v>
      </c>
    </row>
    <row r="65" spans="1:10">
      <c r="A65" s="1">
        <v>45103</v>
      </c>
      <c r="B65">
        <v>366</v>
      </c>
      <c r="C65">
        <v>40.26</v>
      </c>
      <c r="D65" t="s">
        <v>15</v>
      </c>
      <c r="E65" t="s">
        <v>19</v>
      </c>
      <c r="F65" t="s">
        <v>13</v>
      </c>
      <c r="G65" t="s">
        <v>34</v>
      </c>
      <c r="H65" t="str">
        <f>TEXT(A65,"mmm")</f>
        <v>Jun</v>
      </c>
      <c r="I65">
        <f>MONTH(A65)</f>
        <v>6</v>
      </c>
      <c r="J65">
        <f>YEAR(A65)</f>
        <v>2023</v>
      </c>
    </row>
    <row r="66" spans="1:10">
      <c r="A66" s="1">
        <v>45096</v>
      </c>
      <c r="B66">
        <v>365</v>
      </c>
      <c r="C66">
        <v>73</v>
      </c>
      <c r="D66" t="s">
        <v>11</v>
      </c>
      <c r="E66" t="s">
        <v>28</v>
      </c>
      <c r="F66" t="s">
        <v>9</v>
      </c>
      <c r="G66" t="s">
        <v>32</v>
      </c>
      <c r="H66" t="str">
        <f>TEXT(A66,"mmm")</f>
        <v>Jun</v>
      </c>
      <c r="I66">
        <f>MONTH(A66)</f>
        <v>6</v>
      </c>
      <c r="J66">
        <f>YEAR(A66)</f>
        <v>2023</v>
      </c>
    </row>
    <row r="67" spans="1:10">
      <c r="A67" s="1">
        <v>44994</v>
      </c>
      <c r="B67">
        <v>364</v>
      </c>
      <c r="C67">
        <v>58.24</v>
      </c>
      <c r="D67" t="s">
        <v>7</v>
      </c>
      <c r="E67" t="s">
        <v>8</v>
      </c>
      <c r="F67" t="s">
        <v>24</v>
      </c>
      <c r="G67" t="s">
        <v>35</v>
      </c>
      <c r="H67" t="str">
        <f>TEXT(A67,"mmm")</f>
        <v>Mar</v>
      </c>
      <c r="I67">
        <f>MONTH(A67)</f>
        <v>3</v>
      </c>
      <c r="J67">
        <f>YEAR(A67)</f>
        <v>2023</v>
      </c>
    </row>
    <row r="68" spans="1:10">
      <c r="A68" s="1">
        <v>45232</v>
      </c>
      <c r="B68">
        <v>364</v>
      </c>
      <c r="C68">
        <v>105.56</v>
      </c>
      <c r="D68" t="s">
        <v>7</v>
      </c>
      <c r="E68" t="s">
        <v>19</v>
      </c>
      <c r="F68" t="s">
        <v>20</v>
      </c>
      <c r="G68" t="s">
        <v>38</v>
      </c>
      <c r="H68" t="str">
        <f>TEXT(A68,"mmm")</f>
        <v>Nov</v>
      </c>
      <c r="I68">
        <f>MONTH(A68)</f>
        <v>11</v>
      </c>
      <c r="J68">
        <f>YEAR(A68)</f>
        <v>2023</v>
      </c>
    </row>
    <row r="69" spans="1:10">
      <c r="A69" s="1">
        <v>45032</v>
      </c>
      <c r="B69">
        <v>361</v>
      </c>
      <c r="C69">
        <v>61.37</v>
      </c>
      <c r="D69" t="s">
        <v>15</v>
      </c>
      <c r="E69" t="s">
        <v>19</v>
      </c>
      <c r="F69" t="s">
        <v>13</v>
      </c>
      <c r="G69" t="s">
        <v>38</v>
      </c>
      <c r="H69" t="str">
        <f>TEXT(A69,"mmm")</f>
        <v>Apr</v>
      </c>
      <c r="I69">
        <f>MONTH(A69)</f>
        <v>4</v>
      </c>
      <c r="J69">
        <f>YEAR(A69)</f>
        <v>2023</v>
      </c>
    </row>
    <row r="70" spans="1:10">
      <c r="A70" s="1">
        <v>45104</v>
      </c>
      <c r="B70">
        <v>360</v>
      </c>
      <c r="C70">
        <v>43.2</v>
      </c>
      <c r="D70" t="s">
        <v>11</v>
      </c>
      <c r="E70" t="s">
        <v>19</v>
      </c>
      <c r="F70" t="s">
        <v>9</v>
      </c>
      <c r="G70" t="s">
        <v>23</v>
      </c>
      <c r="H70" t="str">
        <f>TEXT(A70,"mmm")</f>
        <v>Jun</v>
      </c>
      <c r="I70">
        <f>MONTH(A70)</f>
        <v>6</v>
      </c>
      <c r="J70">
        <f>YEAR(A70)</f>
        <v>2023</v>
      </c>
    </row>
    <row r="71" spans="1:10">
      <c r="A71" s="1">
        <v>45165</v>
      </c>
      <c r="B71">
        <v>360</v>
      </c>
      <c r="C71">
        <v>82.8</v>
      </c>
      <c r="D71" t="s">
        <v>15</v>
      </c>
      <c r="E71" t="s">
        <v>17</v>
      </c>
      <c r="F71" t="s">
        <v>20</v>
      </c>
      <c r="G71" t="s">
        <v>57</v>
      </c>
      <c r="H71" t="str">
        <f>TEXT(A71,"mmm")</f>
        <v>Aug</v>
      </c>
      <c r="I71">
        <f>MONTH(A71)</f>
        <v>8</v>
      </c>
      <c r="J71">
        <f>YEAR(A71)</f>
        <v>2023</v>
      </c>
    </row>
    <row r="72" spans="1:10">
      <c r="A72" s="1">
        <v>45145</v>
      </c>
      <c r="B72">
        <v>358</v>
      </c>
      <c r="C72">
        <v>89.5</v>
      </c>
      <c r="D72" t="s">
        <v>15</v>
      </c>
      <c r="E72" t="s">
        <v>17</v>
      </c>
      <c r="F72" t="s">
        <v>13</v>
      </c>
      <c r="G72" t="s">
        <v>41</v>
      </c>
      <c r="H72" t="str">
        <f>TEXT(A72,"mmm")</f>
        <v>Aug</v>
      </c>
      <c r="I72">
        <f>MONTH(A72)</f>
        <v>8</v>
      </c>
      <c r="J72">
        <f>YEAR(A72)</f>
        <v>2023</v>
      </c>
    </row>
    <row r="73" spans="1:10">
      <c r="A73" s="1">
        <v>45011</v>
      </c>
      <c r="B73">
        <v>357</v>
      </c>
      <c r="C73">
        <v>64.260000000000005</v>
      </c>
      <c r="D73" t="s">
        <v>7</v>
      </c>
      <c r="E73" t="s">
        <v>12</v>
      </c>
      <c r="F73" t="s">
        <v>9</v>
      </c>
      <c r="G73" t="s">
        <v>47</v>
      </c>
      <c r="H73" t="str">
        <f>TEXT(A73,"mmm")</f>
        <v>Mar</v>
      </c>
      <c r="I73">
        <f>MONTH(A73)</f>
        <v>3</v>
      </c>
      <c r="J73">
        <f>YEAR(A73)</f>
        <v>2023</v>
      </c>
    </row>
    <row r="74" spans="1:10">
      <c r="A74" s="1">
        <v>44962</v>
      </c>
      <c r="B74">
        <v>355</v>
      </c>
      <c r="C74">
        <v>102.95</v>
      </c>
      <c r="D74" t="s">
        <v>7</v>
      </c>
      <c r="E74" t="s">
        <v>28</v>
      </c>
      <c r="F74" t="s">
        <v>13</v>
      </c>
      <c r="G74" t="s">
        <v>42</v>
      </c>
      <c r="H74" t="str">
        <f>TEXT(A74,"mmm")</f>
        <v>Feb</v>
      </c>
      <c r="I74">
        <f>MONTH(A74)</f>
        <v>2</v>
      </c>
      <c r="J74">
        <f>YEAR(A74)</f>
        <v>2023</v>
      </c>
    </row>
    <row r="75" spans="1:10">
      <c r="A75" s="1">
        <v>45258</v>
      </c>
      <c r="B75">
        <v>350</v>
      </c>
      <c r="C75">
        <v>73.5</v>
      </c>
      <c r="D75" t="s">
        <v>11</v>
      </c>
      <c r="E75" t="s">
        <v>17</v>
      </c>
      <c r="F75" t="s">
        <v>20</v>
      </c>
      <c r="G75" t="s">
        <v>30</v>
      </c>
      <c r="H75" t="str">
        <f>TEXT(A75,"mmm")</f>
        <v>Nov</v>
      </c>
      <c r="I75">
        <f>MONTH(A75)</f>
        <v>11</v>
      </c>
      <c r="J75">
        <f>YEAR(A75)</f>
        <v>2023</v>
      </c>
    </row>
    <row r="76" spans="1:10">
      <c r="A76" s="1">
        <v>45162</v>
      </c>
      <c r="B76">
        <v>348</v>
      </c>
      <c r="C76">
        <v>100.92</v>
      </c>
      <c r="D76" t="s">
        <v>7</v>
      </c>
      <c r="E76" t="s">
        <v>8</v>
      </c>
      <c r="F76" t="s">
        <v>20</v>
      </c>
      <c r="G76" t="s">
        <v>31</v>
      </c>
      <c r="H76" t="str">
        <f>TEXT(A76,"mmm")</f>
        <v>Aug</v>
      </c>
      <c r="I76">
        <f>MONTH(A76)</f>
        <v>8</v>
      </c>
      <c r="J76">
        <f>YEAR(A76)</f>
        <v>2023</v>
      </c>
    </row>
    <row r="77" spans="1:10">
      <c r="A77" s="1">
        <v>45127</v>
      </c>
      <c r="B77">
        <v>347</v>
      </c>
      <c r="C77">
        <v>58.99</v>
      </c>
      <c r="D77" t="s">
        <v>15</v>
      </c>
      <c r="E77" t="s">
        <v>8</v>
      </c>
      <c r="F77" t="s">
        <v>13</v>
      </c>
      <c r="G77" t="s">
        <v>32</v>
      </c>
      <c r="H77" t="str">
        <f>TEXT(A77,"mmm")</f>
        <v>Jul</v>
      </c>
      <c r="I77">
        <f>MONTH(A77)</f>
        <v>7</v>
      </c>
      <c r="J77">
        <f>YEAR(A77)</f>
        <v>2023</v>
      </c>
    </row>
    <row r="78" spans="1:10">
      <c r="A78" s="1">
        <v>45020</v>
      </c>
      <c r="B78">
        <v>347</v>
      </c>
      <c r="C78">
        <v>79.81</v>
      </c>
      <c r="D78" t="s">
        <v>15</v>
      </c>
      <c r="E78" t="s">
        <v>28</v>
      </c>
      <c r="F78" t="s">
        <v>20</v>
      </c>
      <c r="G78" t="s">
        <v>35</v>
      </c>
      <c r="H78" t="str">
        <f>TEXT(A78,"mmm")</f>
        <v>Apr</v>
      </c>
      <c r="I78">
        <f>MONTH(A78)</f>
        <v>4</v>
      </c>
      <c r="J78">
        <f>YEAR(A78)</f>
        <v>2023</v>
      </c>
    </row>
    <row r="79" spans="1:10">
      <c r="A79" s="1">
        <v>45096</v>
      </c>
      <c r="B79">
        <v>346</v>
      </c>
      <c r="C79">
        <v>34.6</v>
      </c>
      <c r="D79" t="s">
        <v>15</v>
      </c>
      <c r="E79" t="s">
        <v>28</v>
      </c>
      <c r="F79" t="s">
        <v>20</v>
      </c>
      <c r="G79" t="s">
        <v>43</v>
      </c>
      <c r="H79" t="str">
        <f>TEXT(A79,"mmm")</f>
        <v>Jun</v>
      </c>
      <c r="I79">
        <f>MONTH(A79)</f>
        <v>6</v>
      </c>
      <c r="J79">
        <f>YEAR(A79)</f>
        <v>2023</v>
      </c>
    </row>
    <row r="80" spans="1:10">
      <c r="A80" s="1">
        <v>45143</v>
      </c>
      <c r="B80">
        <v>345</v>
      </c>
      <c r="C80">
        <v>41.4</v>
      </c>
      <c r="D80" t="s">
        <v>11</v>
      </c>
      <c r="E80" t="s">
        <v>12</v>
      </c>
      <c r="F80" t="s">
        <v>20</v>
      </c>
      <c r="G80" t="s">
        <v>46</v>
      </c>
      <c r="H80" t="str">
        <f>TEXT(A80,"mmm")</f>
        <v>Aug</v>
      </c>
      <c r="I80">
        <f>MONTH(A80)</f>
        <v>8</v>
      </c>
      <c r="J80">
        <f>YEAR(A80)</f>
        <v>2023</v>
      </c>
    </row>
    <row r="81" spans="1:10">
      <c r="A81" s="1">
        <v>45154</v>
      </c>
      <c r="B81">
        <v>343</v>
      </c>
      <c r="C81">
        <v>99.47</v>
      </c>
      <c r="D81" t="s">
        <v>7</v>
      </c>
      <c r="E81" t="s">
        <v>17</v>
      </c>
      <c r="F81" t="s">
        <v>13</v>
      </c>
      <c r="G81" t="s">
        <v>59</v>
      </c>
      <c r="H81" t="str">
        <f>TEXT(A81,"mmm")</f>
        <v>Aug</v>
      </c>
      <c r="I81">
        <f>MONTH(A81)</f>
        <v>8</v>
      </c>
      <c r="J81">
        <f>YEAR(A81)</f>
        <v>2023</v>
      </c>
    </row>
    <row r="82" spans="1:10">
      <c r="A82" s="1">
        <v>45162</v>
      </c>
      <c r="B82">
        <v>342</v>
      </c>
      <c r="C82">
        <v>95.76</v>
      </c>
      <c r="D82" t="s">
        <v>15</v>
      </c>
      <c r="E82" t="s">
        <v>28</v>
      </c>
      <c r="F82" t="s">
        <v>9</v>
      </c>
      <c r="G82" t="s">
        <v>45</v>
      </c>
      <c r="H82" t="str">
        <f>TEXT(A82,"mmm")</f>
        <v>Aug</v>
      </c>
      <c r="I82">
        <f>MONTH(A82)</f>
        <v>8</v>
      </c>
      <c r="J82">
        <f>YEAR(A82)</f>
        <v>2023</v>
      </c>
    </row>
    <row r="83" spans="1:10">
      <c r="A83" s="1">
        <v>45027</v>
      </c>
      <c r="B83">
        <v>340</v>
      </c>
      <c r="C83">
        <v>54.4</v>
      </c>
      <c r="D83" t="s">
        <v>15</v>
      </c>
      <c r="E83" t="s">
        <v>8</v>
      </c>
      <c r="F83" t="s">
        <v>20</v>
      </c>
      <c r="G83" t="s">
        <v>34</v>
      </c>
      <c r="H83" t="str">
        <f>TEXT(A83,"mmm")</f>
        <v>Apr</v>
      </c>
      <c r="I83">
        <f>MONTH(A83)</f>
        <v>4</v>
      </c>
      <c r="J83">
        <f>YEAR(A83)</f>
        <v>2023</v>
      </c>
    </row>
    <row r="84" spans="1:10">
      <c r="A84" s="1">
        <v>45158</v>
      </c>
      <c r="B84">
        <v>335</v>
      </c>
      <c r="C84">
        <v>87.1</v>
      </c>
      <c r="D84" t="s">
        <v>11</v>
      </c>
      <c r="E84" t="s">
        <v>12</v>
      </c>
      <c r="F84" t="s">
        <v>20</v>
      </c>
      <c r="G84" t="s">
        <v>30</v>
      </c>
      <c r="H84" t="str">
        <f>TEXT(A84,"mmm")</f>
        <v>Aug</v>
      </c>
      <c r="I84">
        <f>MONTH(A84)</f>
        <v>8</v>
      </c>
      <c r="J84">
        <f>YEAR(A84)</f>
        <v>2023</v>
      </c>
    </row>
    <row r="85" spans="1:10">
      <c r="A85" s="1">
        <v>45224</v>
      </c>
      <c r="B85">
        <v>335</v>
      </c>
      <c r="C85">
        <v>97.15</v>
      </c>
      <c r="D85" t="s">
        <v>11</v>
      </c>
      <c r="E85" t="s">
        <v>8</v>
      </c>
      <c r="F85" t="s">
        <v>13</v>
      </c>
      <c r="G85" t="s">
        <v>33</v>
      </c>
      <c r="H85" t="str">
        <f>TEXT(A85,"mmm")</f>
        <v>Oct</v>
      </c>
      <c r="I85">
        <f>MONTH(A85)</f>
        <v>10</v>
      </c>
      <c r="J85">
        <f>YEAR(A85)</f>
        <v>2023</v>
      </c>
    </row>
    <row r="86" spans="1:10">
      <c r="A86" s="1">
        <v>45057</v>
      </c>
      <c r="B86">
        <v>334</v>
      </c>
      <c r="C86">
        <v>90.18</v>
      </c>
      <c r="D86" t="s">
        <v>7</v>
      </c>
      <c r="E86" t="s">
        <v>17</v>
      </c>
      <c r="F86" t="s">
        <v>24</v>
      </c>
      <c r="G86" t="s">
        <v>14</v>
      </c>
      <c r="H86" t="str">
        <f>TEXT(A86,"mmm")</f>
        <v>May</v>
      </c>
      <c r="I86">
        <f>MONTH(A86)</f>
        <v>5</v>
      </c>
      <c r="J86">
        <f>YEAR(A86)</f>
        <v>2023</v>
      </c>
    </row>
    <row r="87" spans="1:10">
      <c r="A87" s="1">
        <v>44992</v>
      </c>
      <c r="B87">
        <v>322</v>
      </c>
      <c r="C87">
        <v>77.28</v>
      </c>
      <c r="D87" t="s">
        <v>15</v>
      </c>
      <c r="E87" t="s">
        <v>8</v>
      </c>
      <c r="F87" t="s">
        <v>9</v>
      </c>
      <c r="G87" t="s">
        <v>63</v>
      </c>
      <c r="H87" t="str">
        <f>TEXT(A87,"mmm")</f>
        <v>Mar</v>
      </c>
      <c r="I87">
        <f>MONTH(A87)</f>
        <v>3</v>
      </c>
      <c r="J87">
        <f>YEAR(A87)</f>
        <v>2023</v>
      </c>
    </row>
    <row r="88" spans="1:10">
      <c r="A88" s="1">
        <v>45062</v>
      </c>
      <c r="B88">
        <v>315</v>
      </c>
      <c r="C88">
        <v>75.599999999999994</v>
      </c>
      <c r="D88" t="s">
        <v>7</v>
      </c>
      <c r="E88" t="s">
        <v>12</v>
      </c>
      <c r="F88" t="s">
        <v>9</v>
      </c>
      <c r="G88" t="s">
        <v>47</v>
      </c>
      <c r="H88" t="str">
        <f>TEXT(A88,"mmm")</f>
        <v>May</v>
      </c>
      <c r="I88">
        <f>MONTH(A88)</f>
        <v>5</v>
      </c>
      <c r="J88">
        <f>YEAR(A88)</f>
        <v>2023</v>
      </c>
    </row>
    <row r="89" spans="1:10">
      <c r="A89" s="1">
        <v>44947</v>
      </c>
      <c r="B89">
        <v>308</v>
      </c>
      <c r="C89">
        <v>64.680000000000007</v>
      </c>
      <c r="D89" t="s">
        <v>15</v>
      </c>
      <c r="E89" t="s">
        <v>17</v>
      </c>
      <c r="F89" t="s">
        <v>9</v>
      </c>
      <c r="G89" t="s">
        <v>21</v>
      </c>
      <c r="H89" t="str">
        <f>TEXT(A89,"mmm")</f>
        <v>Jan</v>
      </c>
      <c r="I89">
        <f>MONTH(A89)</f>
        <v>1</v>
      </c>
      <c r="J89">
        <f>YEAR(A89)</f>
        <v>2023</v>
      </c>
    </row>
    <row r="90" spans="1:10">
      <c r="A90" s="1">
        <v>45097</v>
      </c>
      <c r="B90">
        <v>305</v>
      </c>
      <c r="C90">
        <v>91.5</v>
      </c>
      <c r="D90" t="s">
        <v>7</v>
      </c>
      <c r="E90" t="s">
        <v>8</v>
      </c>
      <c r="F90" t="s">
        <v>20</v>
      </c>
      <c r="G90" t="s">
        <v>54</v>
      </c>
      <c r="H90" t="str">
        <f>TEXT(A90,"mmm")</f>
        <v>Jun</v>
      </c>
      <c r="I90">
        <f>MONTH(A90)</f>
        <v>6</v>
      </c>
      <c r="J90">
        <f>YEAR(A90)</f>
        <v>2023</v>
      </c>
    </row>
    <row r="91" spans="1:10">
      <c r="A91" s="1">
        <v>45055</v>
      </c>
      <c r="B91">
        <v>304</v>
      </c>
      <c r="C91">
        <v>69.92</v>
      </c>
      <c r="D91" t="s">
        <v>15</v>
      </c>
      <c r="E91" t="s">
        <v>8</v>
      </c>
      <c r="F91" t="s">
        <v>9</v>
      </c>
      <c r="G91" t="s">
        <v>63</v>
      </c>
      <c r="H91" t="str">
        <f>TEXT(A91,"mmm")</f>
        <v>May</v>
      </c>
      <c r="I91">
        <f>MONTH(A91)</f>
        <v>5</v>
      </c>
      <c r="J91">
        <f>YEAR(A91)</f>
        <v>2023</v>
      </c>
    </row>
    <row r="92" spans="1:10">
      <c r="A92" s="1">
        <v>45043</v>
      </c>
      <c r="B92">
        <v>304</v>
      </c>
      <c r="C92">
        <v>82.08</v>
      </c>
      <c r="D92" t="s">
        <v>11</v>
      </c>
      <c r="E92" t="s">
        <v>28</v>
      </c>
      <c r="F92" t="s">
        <v>9</v>
      </c>
      <c r="G92" t="s">
        <v>55</v>
      </c>
      <c r="H92" t="str">
        <f>TEXT(A92,"mmm")</f>
        <v>Apr</v>
      </c>
      <c r="I92">
        <f>MONTH(A92)</f>
        <v>4</v>
      </c>
      <c r="J92">
        <f>YEAR(A92)</f>
        <v>2023</v>
      </c>
    </row>
    <row r="93" spans="1:10">
      <c r="A93" s="1">
        <v>45021</v>
      </c>
      <c r="B93">
        <v>303</v>
      </c>
      <c r="C93">
        <v>45.45</v>
      </c>
      <c r="D93" t="s">
        <v>7</v>
      </c>
      <c r="E93" t="s">
        <v>12</v>
      </c>
      <c r="F93" t="s">
        <v>13</v>
      </c>
      <c r="G93" t="s">
        <v>32</v>
      </c>
      <c r="H93" t="str">
        <f>TEXT(A93,"mmm")</f>
        <v>Apr</v>
      </c>
      <c r="I93">
        <f>MONTH(A93)</f>
        <v>4</v>
      </c>
      <c r="J93">
        <f>YEAR(A93)</f>
        <v>2023</v>
      </c>
    </row>
    <row r="94" spans="1:10">
      <c r="A94" s="1">
        <v>45031</v>
      </c>
      <c r="B94">
        <v>301</v>
      </c>
      <c r="C94">
        <v>90.3</v>
      </c>
      <c r="D94" t="s">
        <v>15</v>
      </c>
      <c r="E94" t="s">
        <v>28</v>
      </c>
      <c r="F94" t="s">
        <v>9</v>
      </c>
      <c r="G94" t="s">
        <v>39</v>
      </c>
      <c r="H94" t="str">
        <f>TEXT(A94,"mmm")</f>
        <v>Apr</v>
      </c>
      <c r="I94">
        <f>MONTH(A94)</f>
        <v>4</v>
      </c>
      <c r="J94">
        <f>YEAR(A94)</f>
        <v>2023</v>
      </c>
    </row>
    <row r="95" spans="1:10">
      <c r="A95" s="1">
        <v>45173</v>
      </c>
      <c r="B95">
        <v>297</v>
      </c>
      <c r="C95">
        <v>62.37</v>
      </c>
      <c r="D95" t="s">
        <v>7</v>
      </c>
      <c r="E95" t="s">
        <v>19</v>
      </c>
      <c r="F95" t="s">
        <v>20</v>
      </c>
      <c r="G95" t="s">
        <v>47</v>
      </c>
      <c r="H95" t="str">
        <f>TEXT(A95,"mmm")</f>
        <v>Sep</v>
      </c>
      <c r="I95">
        <f>MONTH(A95)</f>
        <v>9</v>
      </c>
      <c r="J95">
        <f>YEAR(A95)</f>
        <v>2023</v>
      </c>
    </row>
    <row r="96" spans="1:10">
      <c r="A96" s="1">
        <v>45164</v>
      </c>
      <c r="B96">
        <v>291</v>
      </c>
      <c r="C96">
        <v>87.3</v>
      </c>
      <c r="D96" t="s">
        <v>7</v>
      </c>
      <c r="E96" t="s">
        <v>28</v>
      </c>
      <c r="F96" t="s">
        <v>9</v>
      </c>
      <c r="G96" t="s">
        <v>27</v>
      </c>
      <c r="H96" t="str">
        <f>TEXT(A96,"mmm")</f>
        <v>Aug</v>
      </c>
      <c r="I96">
        <f>MONTH(A96)</f>
        <v>8</v>
      </c>
      <c r="J96">
        <f>YEAR(A96)</f>
        <v>2023</v>
      </c>
    </row>
    <row r="97" spans="1:10">
      <c r="A97" s="1">
        <v>45201</v>
      </c>
      <c r="B97">
        <v>286</v>
      </c>
      <c r="C97">
        <v>31.46</v>
      </c>
      <c r="D97" t="s">
        <v>11</v>
      </c>
      <c r="E97" t="s">
        <v>28</v>
      </c>
      <c r="F97" t="s">
        <v>9</v>
      </c>
      <c r="G97" t="s">
        <v>29</v>
      </c>
      <c r="H97" t="str">
        <f>TEXT(A97,"mmm")</f>
        <v>Oct</v>
      </c>
      <c r="I97">
        <f>MONTH(A97)</f>
        <v>10</v>
      </c>
      <c r="J97">
        <f>YEAR(A97)</f>
        <v>2023</v>
      </c>
    </row>
    <row r="98" spans="1:10">
      <c r="A98" s="1">
        <v>45283</v>
      </c>
      <c r="B98">
        <v>285</v>
      </c>
      <c r="C98">
        <v>76.95</v>
      </c>
      <c r="D98" t="s">
        <v>11</v>
      </c>
      <c r="E98" t="s">
        <v>28</v>
      </c>
      <c r="F98" t="s">
        <v>13</v>
      </c>
      <c r="G98" t="s">
        <v>61</v>
      </c>
      <c r="H98" t="str">
        <f>TEXT(A98,"mmm")</f>
        <v>Dec</v>
      </c>
      <c r="I98">
        <f>MONTH(A98)</f>
        <v>12</v>
      </c>
      <c r="J98">
        <f>YEAR(A98)</f>
        <v>2023</v>
      </c>
    </row>
    <row r="99" spans="1:10">
      <c r="A99" s="1">
        <v>45276</v>
      </c>
      <c r="B99">
        <v>283</v>
      </c>
      <c r="C99">
        <v>76.41</v>
      </c>
      <c r="D99" t="s">
        <v>7</v>
      </c>
      <c r="E99" t="s">
        <v>8</v>
      </c>
      <c r="F99" t="s">
        <v>24</v>
      </c>
      <c r="G99" t="s">
        <v>32</v>
      </c>
      <c r="H99" t="str">
        <f>TEXT(A99,"mmm")</f>
        <v>Dec</v>
      </c>
      <c r="I99">
        <f>MONTH(A99)</f>
        <v>12</v>
      </c>
      <c r="J99">
        <f>YEAR(A99)</f>
        <v>2023</v>
      </c>
    </row>
    <row r="100" spans="1:10">
      <c r="A100" s="1">
        <v>45060</v>
      </c>
      <c r="B100">
        <v>282</v>
      </c>
      <c r="C100">
        <v>56.4</v>
      </c>
      <c r="D100" t="s">
        <v>15</v>
      </c>
      <c r="E100" t="s">
        <v>8</v>
      </c>
      <c r="F100" t="s">
        <v>9</v>
      </c>
      <c r="G100" t="s">
        <v>63</v>
      </c>
      <c r="H100" t="str">
        <f>TEXT(A100,"mmm")</f>
        <v>May</v>
      </c>
      <c r="I100">
        <f>MONTH(A100)</f>
        <v>5</v>
      </c>
      <c r="J100">
        <f>YEAR(A100)</f>
        <v>2023</v>
      </c>
    </row>
    <row r="101" spans="1:10">
      <c r="A101" s="1">
        <v>45272</v>
      </c>
      <c r="B101">
        <v>279</v>
      </c>
      <c r="C101">
        <v>72.540000000000006</v>
      </c>
      <c r="D101" t="s">
        <v>7</v>
      </c>
      <c r="E101" t="s">
        <v>8</v>
      </c>
      <c r="F101" t="s">
        <v>9</v>
      </c>
      <c r="G101" t="s">
        <v>32</v>
      </c>
      <c r="H101" t="str">
        <f>TEXT(A101,"mmm")</f>
        <v>Dec</v>
      </c>
      <c r="I101">
        <f>MONTH(A101)</f>
        <v>12</v>
      </c>
      <c r="J101">
        <f>YEAR(A101)</f>
        <v>2023</v>
      </c>
    </row>
    <row r="102" spans="1:10">
      <c r="A102" s="1">
        <v>45178</v>
      </c>
      <c r="B102">
        <v>276</v>
      </c>
      <c r="C102">
        <v>63.48</v>
      </c>
      <c r="D102" t="s">
        <v>7</v>
      </c>
      <c r="E102" t="s">
        <v>12</v>
      </c>
      <c r="F102" t="s">
        <v>20</v>
      </c>
      <c r="G102" t="s">
        <v>58</v>
      </c>
      <c r="H102" t="str">
        <f>TEXT(A102,"mmm")</f>
        <v>Sep</v>
      </c>
      <c r="I102">
        <f>MONTH(A102)</f>
        <v>9</v>
      </c>
      <c r="J102">
        <f>YEAR(A102)</f>
        <v>2023</v>
      </c>
    </row>
    <row r="103" spans="1:10">
      <c r="A103" s="1">
        <v>45037</v>
      </c>
      <c r="B103">
        <v>268</v>
      </c>
      <c r="C103">
        <v>75.040000000000006</v>
      </c>
      <c r="D103" t="s">
        <v>15</v>
      </c>
      <c r="E103" t="s">
        <v>12</v>
      </c>
      <c r="F103" t="s">
        <v>9</v>
      </c>
      <c r="G103" t="s">
        <v>55</v>
      </c>
      <c r="H103" t="str">
        <f>TEXT(A103,"mmm")</f>
        <v>Apr</v>
      </c>
      <c r="I103">
        <f>MONTH(A103)</f>
        <v>4</v>
      </c>
      <c r="J103">
        <f>YEAR(A103)</f>
        <v>2023</v>
      </c>
    </row>
    <row r="104" spans="1:10">
      <c r="A104" s="1">
        <v>45102</v>
      </c>
      <c r="B104">
        <v>262</v>
      </c>
      <c r="C104">
        <v>52.4</v>
      </c>
      <c r="D104" t="s">
        <v>15</v>
      </c>
      <c r="E104" t="s">
        <v>12</v>
      </c>
      <c r="F104" t="s">
        <v>20</v>
      </c>
      <c r="G104" t="s">
        <v>60</v>
      </c>
      <c r="H104" t="str">
        <f>TEXT(A104,"mmm")</f>
        <v>Jun</v>
      </c>
      <c r="I104">
        <f>MONTH(A104)</f>
        <v>6</v>
      </c>
      <c r="J104">
        <f>YEAR(A104)</f>
        <v>2023</v>
      </c>
    </row>
    <row r="105" spans="1:10">
      <c r="A105" s="1">
        <v>45210</v>
      </c>
      <c r="B105">
        <v>261</v>
      </c>
      <c r="C105">
        <v>62.64</v>
      </c>
      <c r="D105" t="s">
        <v>11</v>
      </c>
      <c r="E105" t="s">
        <v>12</v>
      </c>
      <c r="F105" t="s">
        <v>20</v>
      </c>
      <c r="G105" t="s">
        <v>30</v>
      </c>
      <c r="H105" t="str">
        <f>TEXT(A105,"mmm")</f>
        <v>Oct</v>
      </c>
      <c r="I105">
        <f>MONTH(A105)</f>
        <v>10</v>
      </c>
      <c r="J105">
        <f>YEAR(A105)</f>
        <v>2023</v>
      </c>
    </row>
    <row r="106" spans="1:10">
      <c r="A106" s="1">
        <v>45276</v>
      </c>
      <c r="B106">
        <v>259</v>
      </c>
      <c r="C106">
        <v>64.75</v>
      </c>
      <c r="D106" t="s">
        <v>7</v>
      </c>
      <c r="E106" t="s">
        <v>28</v>
      </c>
      <c r="F106" t="s">
        <v>9</v>
      </c>
      <c r="G106" t="s">
        <v>50</v>
      </c>
      <c r="H106" t="str">
        <f>TEXT(A106,"mmm")</f>
        <v>Dec</v>
      </c>
      <c r="I106">
        <f>MONTH(A106)</f>
        <v>12</v>
      </c>
      <c r="J106">
        <f>YEAR(A106)</f>
        <v>2023</v>
      </c>
    </row>
    <row r="107" spans="1:10">
      <c r="A107" s="1">
        <v>45116</v>
      </c>
      <c r="B107">
        <v>258</v>
      </c>
      <c r="C107">
        <v>54.18</v>
      </c>
      <c r="D107" t="s">
        <v>11</v>
      </c>
      <c r="E107" t="s">
        <v>17</v>
      </c>
      <c r="F107" t="s">
        <v>24</v>
      </c>
      <c r="G107" t="s">
        <v>65</v>
      </c>
      <c r="H107" t="str">
        <f>TEXT(A107,"mmm")</f>
        <v>Jul</v>
      </c>
      <c r="I107">
        <f>MONTH(A107)</f>
        <v>7</v>
      </c>
      <c r="J107">
        <f>YEAR(A107)</f>
        <v>2023</v>
      </c>
    </row>
    <row r="108" spans="1:10">
      <c r="A108" s="1">
        <v>44984</v>
      </c>
      <c r="B108">
        <v>258</v>
      </c>
      <c r="C108">
        <v>51.6</v>
      </c>
      <c r="D108" t="s">
        <v>7</v>
      </c>
      <c r="E108" t="s">
        <v>22</v>
      </c>
      <c r="F108" t="s">
        <v>13</v>
      </c>
      <c r="G108" t="s">
        <v>41</v>
      </c>
      <c r="H108" t="str">
        <f>TEXT(A108,"mmm")</f>
        <v>Feb</v>
      </c>
      <c r="I108">
        <f>MONTH(A108)</f>
        <v>2</v>
      </c>
      <c r="J108">
        <f>YEAR(A108)</f>
        <v>2023</v>
      </c>
    </row>
    <row r="109" spans="1:10">
      <c r="A109" s="1">
        <v>45278</v>
      </c>
      <c r="B109">
        <v>258</v>
      </c>
      <c r="C109">
        <v>77.400000000000006</v>
      </c>
      <c r="D109" t="s">
        <v>15</v>
      </c>
      <c r="E109" t="s">
        <v>22</v>
      </c>
      <c r="F109" t="s">
        <v>24</v>
      </c>
      <c r="G109" t="s">
        <v>27</v>
      </c>
      <c r="H109" t="str">
        <f>TEXT(A109,"mmm")</f>
        <v>Dec</v>
      </c>
      <c r="I109">
        <f>MONTH(A109)</f>
        <v>12</v>
      </c>
      <c r="J109">
        <f>YEAR(A109)</f>
        <v>2023</v>
      </c>
    </row>
    <row r="110" spans="1:10">
      <c r="A110" s="1">
        <v>45044</v>
      </c>
      <c r="B110">
        <v>256</v>
      </c>
      <c r="C110">
        <v>61.44</v>
      </c>
      <c r="D110" t="s">
        <v>11</v>
      </c>
      <c r="E110" t="s">
        <v>17</v>
      </c>
      <c r="F110" t="s">
        <v>13</v>
      </c>
      <c r="G110" t="s">
        <v>43</v>
      </c>
      <c r="H110" t="str">
        <f>TEXT(A110,"mmm")</f>
        <v>Apr</v>
      </c>
      <c r="I110">
        <f>MONTH(A110)</f>
        <v>4</v>
      </c>
      <c r="J110">
        <f>YEAR(A110)</f>
        <v>2023</v>
      </c>
    </row>
    <row r="111" spans="1:10">
      <c r="A111" s="1">
        <v>45065</v>
      </c>
      <c r="B111">
        <v>255</v>
      </c>
      <c r="C111">
        <v>56.1</v>
      </c>
      <c r="D111" t="s">
        <v>7</v>
      </c>
      <c r="E111" t="s">
        <v>17</v>
      </c>
      <c r="F111" t="s">
        <v>24</v>
      </c>
      <c r="G111" t="s">
        <v>18</v>
      </c>
      <c r="H111" t="str">
        <f>TEXT(A111,"mmm")</f>
        <v>May</v>
      </c>
      <c r="I111">
        <f>MONTH(A111)</f>
        <v>5</v>
      </c>
      <c r="J111">
        <f>YEAR(A111)</f>
        <v>2023</v>
      </c>
    </row>
    <row r="112" spans="1:10">
      <c r="A112" s="1">
        <v>45053</v>
      </c>
      <c r="B112">
        <v>255</v>
      </c>
      <c r="C112">
        <v>33.15</v>
      </c>
      <c r="D112" t="s">
        <v>7</v>
      </c>
      <c r="E112" t="s">
        <v>17</v>
      </c>
      <c r="F112" t="s">
        <v>20</v>
      </c>
      <c r="G112" t="s">
        <v>66</v>
      </c>
      <c r="H112" t="str">
        <f>TEXT(A112,"mmm")</f>
        <v>May</v>
      </c>
      <c r="I112">
        <f>MONTH(A112)</f>
        <v>5</v>
      </c>
      <c r="J112">
        <f>YEAR(A112)</f>
        <v>2023</v>
      </c>
    </row>
    <row r="113" spans="1:10">
      <c r="A113" s="1">
        <v>45231</v>
      </c>
      <c r="B113">
        <v>251</v>
      </c>
      <c r="C113">
        <v>55.22</v>
      </c>
      <c r="D113" t="s">
        <v>11</v>
      </c>
      <c r="E113" t="s">
        <v>8</v>
      </c>
      <c r="F113" t="s">
        <v>13</v>
      </c>
      <c r="G113" t="s">
        <v>53</v>
      </c>
      <c r="H113" t="str">
        <f>TEXT(A113,"mmm")</f>
        <v>Nov</v>
      </c>
      <c r="I113">
        <f>MONTH(A113)</f>
        <v>11</v>
      </c>
      <c r="J113">
        <f>YEAR(A113)</f>
        <v>2023</v>
      </c>
    </row>
    <row r="114" spans="1:10">
      <c r="A114" s="1">
        <v>45246</v>
      </c>
      <c r="B114">
        <v>251</v>
      </c>
      <c r="C114">
        <v>62.75</v>
      </c>
      <c r="D114" t="s">
        <v>11</v>
      </c>
      <c r="E114" t="s">
        <v>17</v>
      </c>
      <c r="F114" t="s">
        <v>9</v>
      </c>
      <c r="G114" t="s">
        <v>33</v>
      </c>
      <c r="H114" t="str">
        <f>TEXT(A114,"mmm")</f>
        <v>Nov</v>
      </c>
      <c r="I114">
        <f>MONTH(A114)</f>
        <v>11</v>
      </c>
      <c r="J114">
        <f>YEAR(A114)</f>
        <v>2023</v>
      </c>
    </row>
    <row r="115" spans="1:10">
      <c r="A115" s="1">
        <v>45254</v>
      </c>
      <c r="B115">
        <v>250</v>
      </c>
      <c r="C115">
        <v>30</v>
      </c>
      <c r="D115" t="s">
        <v>7</v>
      </c>
      <c r="E115" t="s">
        <v>8</v>
      </c>
      <c r="F115" t="s">
        <v>13</v>
      </c>
      <c r="G115" t="s">
        <v>35</v>
      </c>
      <c r="H115" t="str">
        <f>TEXT(A115,"mmm")</f>
        <v>Nov</v>
      </c>
      <c r="I115">
        <f>MONTH(A115)</f>
        <v>11</v>
      </c>
      <c r="J115">
        <f>YEAR(A115)</f>
        <v>2023</v>
      </c>
    </row>
    <row r="116" spans="1:10">
      <c r="A116" s="1">
        <v>45246</v>
      </c>
      <c r="B116">
        <v>249</v>
      </c>
      <c r="C116">
        <v>69.72</v>
      </c>
      <c r="D116" t="s">
        <v>15</v>
      </c>
      <c r="E116" t="s">
        <v>19</v>
      </c>
      <c r="F116" t="s">
        <v>13</v>
      </c>
      <c r="G116" t="s">
        <v>14</v>
      </c>
      <c r="H116" t="str">
        <f>TEXT(A116,"mmm")</f>
        <v>Nov</v>
      </c>
      <c r="I116">
        <f>MONTH(A116)</f>
        <v>11</v>
      </c>
      <c r="J116">
        <f>YEAR(A116)</f>
        <v>2023</v>
      </c>
    </row>
    <row r="117" spans="1:10">
      <c r="A117" s="1">
        <v>45087</v>
      </c>
      <c r="B117">
        <v>249</v>
      </c>
      <c r="C117">
        <v>52.29</v>
      </c>
      <c r="D117" t="s">
        <v>11</v>
      </c>
      <c r="E117" t="s">
        <v>17</v>
      </c>
      <c r="F117" t="s">
        <v>20</v>
      </c>
      <c r="G117" t="s">
        <v>46</v>
      </c>
      <c r="H117" t="str">
        <f>TEXT(A117,"mmm")</f>
        <v>Jun</v>
      </c>
      <c r="I117">
        <f>MONTH(A117)</f>
        <v>6</v>
      </c>
      <c r="J117">
        <f>YEAR(A117)</f>
        <v>2023</v>
      </c>
    </row>
    <row r="118" spans="1:10">
      <c r="A118" s="1">
        <v>44968</v>
      </c>
      <c r="B118">
        <v>246</v>
      </c>
      <c r="C118">
        <v>27.06</v>
      </c>
      <c r="D118" t="s">
        <v>15</v>
      </c>
      <c r="E118" t="s">
        <v>17</v>
      </c>
      <c r="F118" t="s">
        <v>20</v>
      </c>
      <c r="G118" t="s">
        <v>57</v>
      </c>
      <c r="H118" t="str">
        <f>TEXT(A118,"mmm")</f>
        <v>Feb</v>
      </c>
      <c r="I118">
        <f>MONTH(A118)</f>
        <v>2</v>
      </c>
      <c r="J118">
        <f>YEAR(A118)</f>
        <v>2023</v>
      </c>
    </row>
    <row r="119" spans="1:10">
      <c r="A119" s="1">
        <v>45239</v>
      </c>
      <c r="B119">
        <v>241</v>
      </c>
      <c r="C119">
        <v>33.74</v>
      </c>
      <c r="D119" t="s">
        <v>11</v>
      </c>
      <c r="E119" t="s">
        <v>8</v>
      </c>
      <c r="F119" t="s">
        <v>13</v>
      </c>
      <c r="G119" t="s">
        <v>39</v>
      </c>
      <c r="H119" t="str">
        <f>TEXT(A119,"mmm")</f>
        <v>Nov</v>
      </c>
      <c r="I119">
        <f>MONTH(A119)</f>
        <v>11</v>
      </c>
      <c r="J119">
        <f>YEAR(A119)</f>
        <v>2023</v>
      </c>
    </row>
    <row r="120" spans="1:10">
      <c r="A120" s="1">
        <v>45044</v>
      </c>
      <c r="B120">
        <v>241</v>
      </c>
      <c r="C120">
        <v>65.069999999999993</v>
      </c>
      <c r="D120" t="s">
        <v>11</v>
      </c>
      <c r="E120" t="s">
        <v>22</v>
      </c>
      <c r="F120" t="s">
        <v>24</v>
      </c>
      <c r="G120" t="s">
        <v>27</v>
      </c>
      <c r="H120" t="str">
        <f>TEXT(A120,"mmm")</f>
        <v>Apr</v>
      </c>
      <c r="I120">
        <f>MONTH(A120)</f>
        <v>4</v>
      </c>
      <c r="J120">
        <f>YEAR(A120)</f>
        <v>2023</v>
      </c>
    </row>
    <row r="121" spans="1:10">
      <c r="A121" s="1">
        <v>45032</v>
      </c>
      <c r="B121">
        <v>240</v>
      </c>
      <c r="C121">
        <v>62.4</v>
      </c>
      <c r="D121" t="s">
        <v>15</v>
      </c>
      <c r="E121" t="s">
        <v>22</v>
      </c>
      <c r="F121" t="s">
        <v>9</v>
      </c>
      <c r="G121" t="s">
        <v>43</v>
      </c>
      <c r="H121" t="str">
        <f>TEXT(A121,"mmm")</f>
        <v>Apr</v>
      </c>
      <c r="I121">
        <f>MONTH(A121)</f>
        <v>4</v>
      </c>
      <c r="J121">
        <f>YEAR(A121)</f>
        <v>2023</v>
      </c>
    </row>
    <row r="122" spans="1:10">
      <c r="A122" s="1">
        <v>45038</v>
      </c>
      <c r="B122">
        <v>236</v>
      </c>
      <c r="C122">
        <v>35.4</v>
      </c>
      <c r="D122" t="s">
        <v>11</v>
      </c>
      <c r="E122" t="s">
        <v>17</v>
      </c>
      <c r="F122" t="s">
        <v>13</v>
      </c>
      <c r="G122" t="s">
        <v>18</v>
      </c>
      <c r="H122" t="str">
        <f>TEXT(A122,"mmm")</f>
        <v>Apr</v>
      </c>
      <c r="I122">
        <f>MONTH(A122)</f>
        <v>4</v>
      </c>
      <c r="J122">
        <f>YEAR(A122)</f>
        <v>2023</v>
      </c>
    </row>
    <row r="123" spans="1:10">
      <c r="A123" s="1">
        <v>45043</v>
      </c>
      <c r="B123">
        <v>235</v>
      </c>
      <c r="C123">
        <v>37.6</v>
      </c>
      <c r="D123" t="s">
        <v>7</v>
      </c>
      <c r="E123" t="s">
        <v>17</v>
      </c>
      <c r="F123" t="s">
        <v>24</v>
      </c>
      <c r="G123" t="s">
        <v>53</v>
      </c>
      <c r="H123" t="str">
        <f>TEXT(A123,"mmm")</f>
        <v>Apr</v>
      </c>
      <c r="I123">
        <f>MONTH(A123)</f>
        <v>4</v>
      </c>
      <c r="J123">
        <f>YEAR(A123)</f>
        <v>2023</v>
      </c>
    </row>
    <row r="124" spans="1:10">
      <c r="A124" s="1">
        <v>45095</v>
      </c>
      <c r="B124">
        <v>234</v>
      </c>
      <c r="C124">
        <v>56.16</v>
      </c>
      <c r="D124" t="s">
        <v>11</v>
      </c>
      <c r="E124" t="s">
        <v>28</v>
      </c>
      <c r="F124" t="s">
        <v>9</v>
      </c>
      <c r="G124" t="s">
        <v>35</v>
      </c>
      <c r="H124" t="str">
        <f>TEXT(A124,"mmm")</f>
        <v>Jun</v>
      </c>
      <c r="I124">
        <f>MONTH(A124)</f>
        <v>6</v>
      </c>
      <c r="J124">
        <f>YEAR(A124)</f>
        <v>2023</v>
      </c>
    </row>
    <row r="125" spans="1:10">
      <c r="A125" s="1">
        <v>45287</v>
      </c>
      <c r="B125">
        <v>233</v>
      </c>
      <c r="C125">
        <v>25.63</v>
      </c>
      <c r="D125" t="s">
        <v>15</v>
      </c>
      <c r="E125" t="s">
        <v>12</v>
      </c>
      <c r="F125" t="s">
        <v>9</v>
      </c>
      <c r="G125" t="s">
        <v>21</v>
      </c>
      <c r="H125" t="str">
        <f>TEXT(A125,"mmm")</f>
        <v>Dec</v>
      </c>
      <c r="I125">
        <f>MONTH(A125)</f>
        <v>12</v>
      </c>
      <c r="J125">
        <f>YEAR(A125)</f>
        <v>2023</v>
      </c>
    </row>
    <row r="126" spans="1:10">
      <c r="A126" s="1">
        <v>45283</v>
      </c>
      <c r="B126">
        <v>228</v>
      </c>
      <c r="C126">
        <v>59.28</v>
      </c>
      <c r="D126" t="s">
        <v>7</v>
      </c>
      <c r="E126" t="s">
        <v>8</v>
      </c>
      <c r="F126" t="s">
        <v>13</v>
      </c>
      <c r="G126" t="s">
        <v>62</v>
      </c>
      <c r="H126" t="str">
        <f>TEXT(A126,"mmm")</f>
        <v>Dec</v>
      </c>
      <c r="I126">
        <f>MONTH(A126)</f>
        <v>12</v>
      </c>
      <c r="J126">
        <f>YEAR(A126)</f>
        <v>2023</v>
      </c>
    </row>
    <row r="127" spans="1:10">
      <c r="A127" s="1">
        <v>45005</v>
      </c>
      <c r="B127">
        <v>223</v>
      </c>
      <c r="C127">
        <v>62.44</v>
      </c>
      <c r="D127" t="s">
        <v>15</v>
      </c>
      <c r="E127" t="s">
        <v>12</v>
      </c>
      <c r="F127" t="s">
        <v>9</v>
      </c>
      <c r="G127" t="s">
        <v>47</v>
      </c>
      <c r="H127" t="str">
        <f>TEXT(A127,"mmm")</f>
        <v>Mar</v>
      </c>
      <c r="I127">
        <f>MONTH(A127)</f>
        <v>3</v>
      </c>
      <c r="J127">
        <f>YEAR(A127)</f>
        <v>2023</v>
      </c>
    </row>
    <row r="128" spans="1:10">
      <c r="A128" s="1">
        <v>45135</v>
      </c>
      <c r="B128">
        <v>220</v>
      </c>
      <c r="C128">
        <v>57.2</v>
      </c>
      <c r="D128" t="s">
        <v>15</v>
      </c>
      <c r="E128" t="s">
        <v>22</v>
      </c>
      <c r="F128" t="s">
        <v>20</v>
      </c>
      <c r="G128" t="s">
        <v>35</v>
      </c>
      <c r="H128" t="str">
        <f>TEXT(A128,"mmm")</f>
        <v>Jul</v>
      </c>
      <c r="I128">
        <f>MONTH(A128)</f>
        <v>7</v>
      </c>
      <c r="J128">
        <f>YEAR(A128)</f>
        <v>2023</v>
      </c>
    </row>
    <row r="129" spans="1:10">
      <c r="A129" s="1">
        <v>45112</v>
      </c>
      <c r="B129">
        <v>219</v>
      </c>
      <c r="C129">
        <v>45.99</v>
      </c>
      <c r="D129" t="s">
        <v>7</v>
      </c>
      <c r="E129" t="s">
        <v>19</v>
      </c>
      <c r="F129" t="s">
        <v>13</v>
      </c>
      <c r="G129" t="s">
        <v>42</v>
      </c>
      <c r="H129" t="str">
        <f>TEXT(A129,"mmm")</f>
        <v>Jul</v>
      </c>
      <c r="I129">
        <f>MONTH(A129)</f>
        <v>7</v>
      </c>
      <c r="J129">
        <f>YEAR(A129)</f>
        <v>2023</v>
      </c>
    </row>
    <row r="130" spans="1:10">
      <c r="A130" s="1">
        <v>45281</v>
      </c>
      <c r="B130">
        <v>219</v>
      </c>
      <c r="C130">
        <v>48.18</v>
      </c>
      <c r="D130" t="s">
        <v>15</v>
      </c>
      <c r="E130" t="s">
        <v>22</v>
      </c>
      <c r="F130" t="s">
        <v>20</v>
      </c>
      <c r="G130" t="s">
        <v>35</v>
      </c>
      <c r="H130" t="str">
        <f>TEXT(A130,"mmm")</f>
        <v>Dec</v>
      </c>
      <c r="I130">
        <f>MONTH(A130)</f>
        <v>12</v>
      </c>
      <c r="J130">
        <f>YEAR(A130)</f>
        <v>2023</v>
      </c>
    </row>
    <row r="131" spans="1:10">
      <c r="A131" s="1">
        <v>45148</v>
      </c>
      <c r="B131">
        <v>217</v>
      </c>
      <c r="C131">
        <v>62.93</v>
      </c>
      <c r="D131" t="s">
        <v>7</v>
      </c>
      <c r="E131" t="s">
        <v>8</v>
      </c>
      <c r="F131" t="s">
        <v>24</v>
      </c>
      <c r="G131" t="s">
        <v>53</v>
      </c>
      <c r="H131" t="str">
        <f>TEXT(A131,"mmm")</f>
        <v>Aug</v>
      </c>
      <c r="I131">
        <f>MONTH(A131)</f>
        <v>8</v>
      </c>
      <c r="J131">
        <f>YEAR(A131)</f>
        <v>2023</v>
      </c>
    </row>
    <row r="132" spans="1:10">
      <c r="A132" s="1">
        <v>45170</v>
      </c>
      <c r="B132">
        <v>212</v>
      </c>
      <c r="C132">
        <v>36.04</v>
      </c>
      <c r="D132" t="s">
        <v>7</v>
      </c>
      <c r="E132" t="s">
        <v>22</v>
      </c>
      <c r="F132" t="s">
        <v>9</v>
      </c>
      <c r="G132" t="s">
        <v>27</v>
      </c>
      <c r="H132" t="str">
        <f>TEXT(A132,"mmm")</f>
        <v>Sep</v>
      </c>
      <c r="I132">
        <f>MONTH(A132)</f>
        <v>9</v>
      </c>
      <c r="J132">
        <f>YEAR(A132)</f>
        <v>2023</v>
      </c>
    </row>
    <row r="133" spans="1:10">
      <c r="A133" s="1">
        <v>44929</v>
      </c>
      <c r="B133">
        <v>212</v>
      </c>
      <c r="C133">
        <v>50.88</v>
      </c>
      <c r="D133" t="s">
        <v>11</v>
      </c>
      <c r="E133" t="s">
        <v>22</v>
      </c>
      <c r="F133" t="s">
        <v>9</v>
      </c>
      <c r="G133" t="s">
        <v>63</v>
      </c>
      <c r="H133" t="str">
        <f>TEXT(A133,"mmm")</f>
        <v>Jan</v>
      </c>
      <c r="I133">
        <f>MONTH(A133)</f>
        <v>1</v>
      </c>
      <c r="J133">
        <f>YEAR(A133)</f>
        <v>2023</v>
      </c>
    </row>
    <row r="134" spans="1:10">
      <c r="A134" s="1">
        <v>45018</v>
      </c>
      <c r="B134">
        <v>209</v>
      </c>
      <c r="C134">
        <v>45.98</v>
      </c>
      <c r="D134" t="s">
        <v>7</v>
      </c>
      <c r="E134" t="s">
        <v>28</v>
      </c>
      <c r="F134" t="s">
        <v>9</v>
      </c>
      <c r="G134" t="s">
        <v>41</v>
      </c>
      <c r="H134" t="str">
        <f>TEXT(A134,"mmm")</f>
        <v>Apr</v>
      </c>
      <c r="I134">
        <f>MONTH(A134)</f>
        <v>4</v>
      </c>
      <c r="J134">
        <f>YEAR(A134)</f>
        <v>2023</v>
      </c>
    </row>
    <row r="135" spans="1:10">
      <c r="A135" s="1">
        <v>45248</v>
      </c>
      <c r="B135">
        <v>209</v>
      </c>
      <c r="C135">
        <v>48.07</v>
      </c>
      <c r="D135" t="s">
        <v>7</v>
      </c>
      <c r="E135" t="s">
        <v>17</v>
      </c>
      <c r="F135" t="s">
        <v>13</v>
      </c>
      <c r="G135" t="s">
        <v>21</v>
      </c>
      <c r="H135" t="str">
        <f>TEXT(A135,"mmm")</f>
        <v>Nov</v>
      </c>
      <c r="I135">
        <f>MONTH(A135)</f>
        <v>11</v>
      </c>
      <c r="J135">
        <f>YEAR(A135)</f>
        <v>2023</v>
      </c>
    </row>
    <row r="136" spans="1:10">
      <c r="A136" s="1">
        <v>44967</v>
      </c>
      <c r="B136">
        <v>206</v>
      </c>
      <c r="C136">
        <v>22.66</v>
      </c>
      <c r="D136" t="s">
        <v>7</v>
      </c>
      <c r="E136" t="s">
        <v>17</v>
      </c>
      <c r="F136" t="s">
        <v>20</v>
      </c>
      <c r="G136" t="s">
        <v>36</v>
      </c>
      <c r="H136" t="str">
        <f>TEXT(A136,"mmm")</f>
        <v>Feb</v>
      </c>
      <c r="I136">
        <f>MONTH(A136)</f>
        <v>2</v>
      </c>
      <c r="J136">
        <f>YEAR(A136)</f>
        <v>2023</v>
      </c>
    </row>
    <row r="137" spans="1:10">
      <c r="A137" s="1">
        <v>45100</v>
      </c>
      <c r="B137">
        <v>203</v>
      </c>
      <c r="C137">
        <v>60.9</v>
      </c>
      <c r="D137" t="s">
        <v>7</v>
      </c>
      <c r="E137" t="s">
        <v>17</v>
      </c>
      <c r="F137" t="s">
        <v>20</v>
      </c>
      <c r="G137" t="s">
        <v>48</v>
      </c>
      <c r="H137" t="str">
        <f>TEXT(A137,"mmm")</f>
        <v>Jun</v>
      </c>
      <c r="I137">
        <f>MONTH(A137)</f>
        <v>6</v>
      </c>
      <c r="J137">
        <f>YEAR(A137)</f>
        <v>2023</v>
      </c>
    </row>
    <row r="138" spans="1:10">
      <c r="A138" s="1">
        <v>45257</v>
      </c>
      <c r="B138">
        <v>203</v>
      </c>
      <c r="C138">
        <v>34.51</v>
      </c>
      <c r="D138" t="s">
        <v>15</v>
      </c>
      <c r="E138" t="s">
        <v>8</v>
      </c>
      <c r="F138" t="s">
        <v>9</v>
      </c>
      <c r="G138" t="s">
        <v>29</v>
      </c>
      <c r="H138" t="str">
        <f>TEXT(A138,"mmm")</f>
        <v>Nov</v>
      </c>
      <c r="I138">
        <f>MONTH(A138)</f>
        <v>11</v>
      </c>
      <c r="J138">
        <f>YEAR(A138)</f>
        <v>2023</v>
      </c>
    </row>
    <row r="139" spans="1:10">
      <c r="A139" s="1">
        <v>45122</v>
      </c>
      <c r="B139">
        <v>203</v>
      </c>
      <c r="C139">
        <v>26.39</v>
      </c>
      <c r="D139" t="s">
        <v>7</v>
      </c>
      <c r="E139" t="s">
        <v>28</v>
      </c>
      <c r="F139" t="s">
        <v>9</v>
      </c>
      <c r="G139" t="s">
        <v>41</v>
      </c>
      <c r="H139" t="str">
        <f>TEXT(A139,"mmm")</f>
        <v>Jul</v>
      </c>
      <c r="I139">
        <f>MONTH(A139)</f>
        <v>7</v>
      </c>
      <c r="J139">
        <f>YEAR(A139)</f>
        <v>2023</v>
      </c>
    </row>
    <row r="140" spans="1:10">
      <c r="A140" s="1">
        <v>44990</v>
      </c>
      <c r="B140">
        <v>202</v>
      </c>
      <c r="C140">
        <v>40.4</v>
      </c>
      <c r="D140" t="s">
        <v>11</v>
      </c>
      <c r="E140" t="s">
        <v>28</v>
      </c>
      <c r="F140" t="s">
        <v>13</v>
      </c>
      <c r="G140" t="s">
        <v>34</v>
      </c>
      <c r="H140" t="str">
        <f>TEXT(A140,"mmm")</f>
        <v>Mar</v>
      </c>
      <c r="I140">
        <f>MONTH(A140)</f>
        <v>3</v>
      </c>
      <c r="J140">
        <f>YEAR(A140)</f>
        <v>2023</v>
      </c>
    </row>
    <row r="141" spans="1:10">
      <c r="A141" s="1">
        <v>45282</v>
      </c>
      <c r="B141">
        <v>199</v>
      </c>
      <c r="C141">
        <v>59.7</v>
      </c>
      <c r="D141" t="s">
        <v>7</v>
      </c>
      <c r="E141" t="s">
        <v>28</v>
      </c>
      <c r="F141" t="s">
        <v>9</v>
      </c>
      <c r="G141" t="s">
        <v>39</v>
      </c>
      <c r="H141" t="str">
        <f>TEXT(A141,"mmm")</f>
        <v>Dec</v>
      </c>
      <c r="I141">
        <f>MONTH(A141)</f>
        <v>12</v>
      </c>
      <c r="J141">
        <f>YEAR(A141)</f>
        <v>2023</v>
      </c>
    </row>
    <row r="142" spans="1:10">
      <c r="A142" s="1">
        <v>45126</v>
      </c>
      <c r="B142">
        <v>198</v>
      </c>
      <c r="C142">
        <v>33.659999999999997</v>
      </c>
      <c r="D142" t="s">
        <v>7</v>
      </c>
      <c r="E142" t="s">
        <v>8</v>
      </c>
      <c r="F142" t="s">
        <v>20</v>
      </c>
      <c r="G142" t="s">
        <v>64</v>
      </c>
      <c r="H142" t="str">
        <f>TEXT(A142,"mmm")</f>
        <v>Jul</v>
      </c>
      <c r="I142">
        <f>MONTH(A142)</f>
        <v>7</v>
      </c>
      <c r="J142">
        <f>YEAR(A142)</f>
        <v>2023</v>
      </c>
    </row>
    <row r="143" spans="1:10">
      <c r="A143" s="1">
        <v>45249</v>
      </c>
      <c r="B143">
        <v>195</v>
      </c>
      <c r="C143">
        <v>37.049999999999997</v>
      </c>
      <c r="D143" t="s">
        <v>15</v>
      </c>
      <c r="E143" t="s">
        <v>8</v>
      </c>
      <c r="F143" t="s">
        <v>13</v>
      </c>
      <c r="G143" t="s">
        <v>55</v>
      </c>
      <c r="H143" t="str">
        <f>TEXT(A143,"mmm")</f>
        <v>Nov</v>
      </c>
      <c r="I143">
        <f>MONTH(A143)</f>
        <v>11</v>
      </c>
      <c r="J143">
        <f>YEAR(A143)</f>
        <v>2023</v>
      </c>
    </row>
    <row r="144" spans="1:10">
      <c r="A144" s="1">
        <v>45079</v>
      </c>
      <c r="B144">
        <v>192</v>
      </c>
      <c r="C144">
        <v>30.72</v>
      </c>
      <c r="D144" t="s">
        <v>15</v>
      </c>
      <c r="E144" t="s">
        <v>17</v>
      </c>
      <c r="F144" t="s">
        <v>13</v>
      </c>
      <c r="G144" t="s">
        <v>49</v>
      </c>
      <c r="H144" t="str">
        <f>TEXT(A144,"mmm")</f>
        <v>Jun</v>
      </c>
      <c r="I144">
        <f>MONTH(A144)</f>
        <v>6</v>
      </c>
      <c r="J144">
        <f>YEAR(A144)</f>
        <v>2023</v>
      </c>
    </row>
    <row r="145" spans="1:10">
      <c r="A145" s="1">
        <v>44964</v>
      </c>
      <c r="B145">
        <v>189</v>
      </c>
      <c r="C145">
        <v>26.46</v>
      </c>
      <c r="D145" t="s">
        <v>7</v>
      </c>
      <c r="E145" t="s">
        <v>28</v>
      </c>
      <c r="F145" t="s">
        <v>9</v>
      </c>
      <c r="G145" t="s">
        <v>29</v>
      </c>
      <c r="H145" t="str">
        <f>TEXT(A145,"mmm")</f>
        <v>Feb</v>
      </c>
      <c r="I145">
        <f>MONTH(A145)</f>
        <v>2</v>
      </c>
      <c r="J145">
        <f>YEAR(A145)</f>
        <v>2023</v>
      </c>
    </row>
    <row r="146" spans="1:10">
      <c r="A146" s="1">
        <v>45010</v>
      </c>
      <c r="B146">
        <v>189</v>
      </c>
      <c r="C146">
        <v>45.36</v>
      </c>
      <c r="D146" t="s">
        <v>15</v>
      </c>
      <c r="E146" t="s">
        <v>19</v>
      </c>
      <c r="F146" t="s">
        <v>13</v>
      </c>
      <c r="G146" t="s">
        <v>53</v>
      </c>
      <c r="H146" t="str">
        <f>TEXT(A146,"mmm")</f>
        <v>Mar</v>
      </c>
      <c r="I146">
        <f>MONTH(A146)</f>
        <v>3</v>
      </c>
      <c r="J146">
        <f>YEAR(A146)</f>
        <v>2023</v>
      </c>
    </row>
    <row r="147" spans="1:10">
      <c r="A147" s="1">
        <v>45219</v>
      </c>
      <c r="B147">
        <v>188</v>
      </c>
      <c r="C147">
        <v>26.32</v>
      </c>
      <c r="D147" t="s">
        <v>11</v>
      </c>
      <c r="E147" t="s">
        <v>19</v>
      </c>
      <c r="F147" t="s">
        <v>20</v>
      </c>
      <c r="G147" t="s">
        <v>37</v>
      </c>
      <c r="H147" t="str">
        <f>TEXT(A147,"mmm")</f>
        <v>Oct</v>
      </c>
      <c r="I147">
        <f>MONTH(A147)</f>
        <v>10</v>
      </c>
      <c r="J147">
        <f>YEAR(A147)</f>
        <v>2023</v>
      </c>
    </row>
    <row r="148" spans="1:10">
      <c r="A148" s="1">
        <v>44931</v>
      </c>
      <c r="B148">
        <v>188</v>
      </c>
      <c r="C148">
        <v>30.08</v>
      </c>
      <c r="D148" t="s">
        <v>15</v>
      </c>
      <c r="E148" t="s">
        <v>19</v>
      </c>
      <c r="F148" t="s">
        <v>24</v>
      </c>
      <c r="G148" t="s">
        <v>29</v>
      </c>
      <c r="H148" t="str">
        <f>TEXT(A148,"mmm")</f>
        <v>Jan</v>
      </c>
      <c r="I148">
        <f>MONTH(A148)</f>
        <v>1</v>
      </c>
      <c r="J148">
        <f>YEAR(A148)</f>
        <v>2023</v>
      </c>
    </row>
    <row r="149" spans="1:10">
      <c r="A149" s="1">
        <v>45011</v>
      </c>
      <c r="B149">
        <v>187</v>
      </c>
      <c r="C149">
        <v>52.36</v>
      </c>
      <c r="D149" t="s">
        <v>15</v>
      </c>
      <c r="E149" t="s">
        <v>22</v>
      </c>
      <c r="F149" t="s">
        <v>13</v>
      </c>
      <c r="G149" t="s">
        <v>52</v>
      </c>
      <c r="H149" t="str">
        <f>TEXT(A149,"mmm")</f>
        <v>Mar</v>
      </c>
      <c r="I149">
        <f>MONTH(A149)</f>
        <v>3</v>
      </c>
      <c r="J149">
        <f>YEAR(A149)</f>
        <v>2023</v>
      </c>
    </row>
    <row r="150" spans="1:10">
      <c r="A150" s="1">
        <v>45263</v>
      </c>
      <c r="B150">
        <v>186</v>
      </c>
      <c r="C150">
        <v>20.46</v>
      </c>
      <c r="D150" t="s">
        <v>15</v>
      </c>
      <c r="E150" t="s">
        <v>12</v>
      </c>
      <c r="F150" t="s">
        <v>13</v>
      </c>
      <c r="G150" t="s">
        <v>16</v>
      </c>
      <c r="H150" t="str">
        <f>TEXT(A150,"mmm")</f>
        <v>Dec</v>
      </c>
      <c r="I150">
        <f>MONTH(A150)</f>
        <v>12</v>
      </c>
      <c r="J150">
        <f>YEAR(A150)</f>
        <v>2023</v>
      </c>
    </row>
    <row r="151" spans="1:10">
      <c r="A151" s="1">
        <v>44952</v>
      </c>
      <c r="B151">
        <v>186</v>
      </c>
      <c r="C151">
        <v>31.62</v>
      </c>
      <c r="D151" t="s">
        <v>11</v>
      </c>
      <c r="E151" t="s">
        <v>28</v>
      </c>
      <c r="F151" t="s">
        <v>9</v>
      </c>
      <c r="G151" t="s">
        <v>47</v>
      </c>
      <c r="H151" t="str">
        <f>TEXT(A151,"mmm")</f>
        <v>Jan</v>
      </c>
      <c r="I151">
        <f>MONTH(A151)</f>
        <v>1</v>
      </c>
      <c r="J151">
        <f>YEAR(A151)</f>
        <v>2023</v>
      </c>
    </row>
    <row r="152" spans="1:10">
      <c r="A152" s="1">
        <v>45220</v>
      </c>
      <c r="B152">
        <v>185</v>
      </c>
      <c r="C152">
        <v>37</v>
      </c>
      <c r="D152" t="s">
        <v>11</v>
      </c>
      <c r="E152" t="s">
        <v>22</v>
      </c>
      <c r="F152" t="s">
        <v>20</v>
      </c>
      <c r="G152" t="s">
        <v>29</v>
      </c>
      <c r="H152" t="str">
        <f>TEXT(A152,"mmm")</f>
        <v>Oct</v>
      </c>
      <c r="I152">
        <f>MONTH(A152)</f>
        <v>10</v>
      </c>
      <c r="J152">
        <f>YEAR(A152)</f>
        <v>2023</v>
      </c>
    </row>
    <row r="153" spans="1:10">
      <c r="A153" s="1">
        <v>45052</v>
      </c>
      <c r="B153">
        <v>185</v>
      </c>
      <c r="C153">
        <v>44.4</v>
      </c>
      <c r="D153" t="s">
        <v>15</v>
      </c>
      <c r="E153" t="s">
        <v>28</v>
      </c>
      <c r="F153" t="s">
        <v>9</v>
      </c>
      <c r="G153" t="s">
        <v>30</v>
      </c>
      <c r="H153" t="str">
        <f>TEXT(A153,"mmm")</f>
        <v>May</v>
      </c>
      <c r="I153">
        <f>MONTH(A153)</f>
        <v>5</v>
      </c>
      <c r="J153">
        <f>YEAR(A153)</f>
        <v>2023</v>
      </c>
    </row>
    <row r="154" spans="1:10">
      <c r="A154" s="1">
        <v>45003</v>
      </c>
      <c r="B154">
        <v>182</v>
      </c>
      <c r="C154">
        <v>20.02</v>
      </c>
      <c r="D154" t="s">
        <v>11</v>
      </c>
      <c r="E154" t="s">
        <v>17</v>
      </c>
      <c r="F154" t="s">
        <v>9</v>
      </c>
      <c r="G154" t="s">
        <v>21</v>
      </c>
      <c r="H154" t="str">
        <f>TEXT(A154,"mmm")</f>
        <v>Mar</v>
      </c>
      <c r="I154">
        <f>MONTH(A154)</f>
        <v>3</v>
      </c>
      <c r="J154">
        <f>YEAR(A154)</f>
        <v>2023</v>
      </c>
    </row>
    <row r="155" spans="1:10">
      <c r="A155" s="1">
        <v>45067</v>
      </c>
      <c r="B155">
        <v>182</v>
      </c>
      <c r="C155">
        <v>54.6</v>
      </c>
      <c r="D155" t="s">
        <v>11</v>
      </c>
      <c r="E155" t="s">
        <v>28</v>
      </c>
      <c r="F155" t="s">
        <v>24</v>
      </c>
      <c r="G155" t="s">
        <v>61</v>
      </c>
      <c r="H155" t="str">
        <f>TEXT(A155,"mmm")</f>
        <v>May</v>
      </c>
      <c r="I155">
        <f>MONTH(A155)</f>
        <v>5</v>
      </c>
      <c r="J155">
        <f>YEAR(A155)</f>
        <v>2023</v>
      </c>
    </row>
    <row r="156" spans="1:10">
      <c r="A156" s="1">
        <v>45032</v>
      </c>
      <c r="B156">
        <v>181</v>
      </c>
      <c r="C156">
        <v>32.58</v>
      </c>
      <c r="D156" t="s">
        <v>15</v>
      </c>
      <c r="E156" t="s">
        <v>8</v>
      </c>
      <c r="F156" t="s">
        <v>20</v>
      </c>
      <c r="G156" t="s">
        <v>34</v>
      </c>
      <c r="H156" t="str">
        <f>TEXT(A156,"mmm")</f>
        <v>Apr</v>
      </c>
      <c r="I156">
        <f>MONTH(A156)</f>
        <v>4</v>
      </c>
      <c r="J156">
        <f>YEAR(A156)</f>
        <v>2023</v>
      </c>
    </row>
    <row r="157" spans="1:10">
      <c r="A157" s="1">
        <v>45237</v>
      </c>
      <c r="B157">
        <v>180</v>
      </c>
      <c r="C157">
        <v>21.6</v>
      </c>
      <c r="D157" t="s">
        <v>15</v>
      </c>
      <c r="E157" t="s">
        <v>12</v>
      </c>
      <c r="F157" t="s">
        <v>24</v>
      </c>
      <c r="G157" t="s">
        <v>48</v>
      </c>
      <c r="H157" t="str">
        <f>TEXT(A157,"mmm")</f>
        <v>Nov</v>
      </c>
      <c r="I157">
        <f>MONTH(A157)</f>
        <v>11</v>
      </c>
      <c r="J157">
        <f>YEAR(A157)</f>
        <v>2023</v>
      </c>
    </row>
    <row r="158" spans="1:10">
      <c r="A158" s="1">
        <v>45031</v>
      </c>
      <c r="B158">
        <v>178</v>
      </c>
      <c r="C158">
        <v>33.82</v>
      </c>
      <c r="D158" t="s">
        <v>15</v>
      </c>
      <c r="E158" t="s">
        <v>19</v>
      </c>
      <c r="F158" t="s">
        <v>9</v>
      </c>
      <c r="G158" t="s">
        <v>34</v>
      </c>
      <c r="H158" t="str">
        <f>TEXT(A158,"mmm")</f>
        <v>Apr</v>
      </c>
      <c r="I158">
        <f>MONTH(A158)</f>
        <v>4</v>
      </c>
      <c r="J158">
        <f>YEAR(A158)</f>
        <v>2023</v>
      </c>
    </row>
    <row r="159" spans="1:10">
      <c r="A159" s="1">
        <v>44928</v>
      </c>
      <c r="B159">
        <v>178</v>
      </c>
      <c r="C159">
        <v>17.8</v>
      </c>
      <c r="D159" t="s">
        <v>11</v>
      </c>
      <c r="E159" t="s">
        <v>12</v>
      </c>
      <c r="F159" t="s">
        <v>20</v>
      </c>
      <c r="G159" t="s">
        <v>58</v>
      </c>
      <c r="H159" t="str">
        <f>TEXT(A159,"mmm")</f>
        <v>Jan</v>
      </c>
      <c r="I159">
        <f>MONTH(A159)</f>
        <v>1</v>
      </c>
      <c r="J159">
        <f>YEAR(A159)</f>
        <v>2023</v>
      </c>
    </row>
    <row r="160" spans="1:10">
      <c r="A160" s="1">
        <v>45240</v>
      </c>
      <c r="B160">
        <v>177</v>
      </c>
      <c r="C160">
        <v>19.47</v>
      </c>
      <c r="D160" t="s">
        <v>11</v>
      </c>
      <c r="E160" t="s">
        <v>22</v>
      </c>
      <c r="F160" t="s">
        <v>9</v>
      </c>
      <c r="G160" t="s">
        <v>23</v>
      </c>
      <c r="H160" t="str">
        <f>TEXT(A160,"mmm")</f>
        <v>Nov</v>
      </c>
      <c r="I160">
        <f>MONTH(A160)</f>
        <v>11</v>
      </c>
      <c r="J160">
        <f>YEAR(A160)</f>
        <v>2023</v>
      </c>
    </row>
    <row r="161" spans="1:10">
      <c r="A161" s="1">
        <v>44975</v>
      </c>
      <c r="B161">
        <v>174</v>
      </c>
      <c r="C161">
        <v>20.88</v>
      </c>
      <c r="D161" t="s">
        <v>15</v>
      </c>
      <c r="E161" t="s">
        <v>22</v>
      </c>
      <c r="F161" t="s">
        <v>20</v>
      </c>
      <c r="G161" t="s">
        <v>36</v>
      </c>
      <c r="H161" t="str">
        <f>TEXT(A161,"mmm")</f>
        <v>Feb</v>
      </c>
      <c r="I161">
        <f>MONTH(A161)</f>
        <v>2</v>
      </c>
      <c r="J161">
        <f>YEAR(A161)</f>
        <v>2023</v>
      </c>
    </row>
    <row r="162" spans="1:10">
      <c r="A162" s="1">
        <v>45067</v>
      </c>
      <c r="B162">
        <v>174</v>
      </c>
      <c r="C162">
        <v>34.799999999999997</v>
      </c>
      <c r="D162" t="s">
        <v>11</v>
      </c>
      <c r="E162" t="s">
        <v>17</v>
      </c>
      <c r="F162" t="s">
        <v>20</v>
      </c>
      <c r="G162" t="s">
        <v>31</v>
      </c>
      <c r="H162" t="str">
        <f>TEXT(A162,"mmm")</f>
        <v>May</v>
      </c>
      <c r="I162">
        <f>MONTH(A162)</f>
        <v>5</v>
      </c>
      <c r="J162">
        <f>YEAR(A162)</f>
        <v>2023</v>
      </c>
    </row>
    <row r="163" spans="1:10">
      <c r="A163" s="1">
        <v>45012</v>
      </c>
      <c r="B163">
        <v>173</v>
      </c>
      <c r="C163">
        <v>24.22</v>
      </c>
      <c r="D163" t="s">
        <v>15</v>
      </c>
      <c r="E163" t="s">
        <v>8</v>
      </c>
      <c r="F163" t="s">
        <v>24</v>
      </c>
      <c r="G163" t="s">
        <v>48</v>
      </c>
      <c r="H163" t="str">
        <f>TEXT(A163,"mmm")</f>
        <v>Mar</v>
      </c>
      <c r="I163">
        <f>MONTH(A163)</f>
        <v>3</v>
      </c>
      <c r="J163">
        <f>YEAR(A163)</f>
        <v>2023</v>
      </c>
    </row>
    <row r="164" spans="1:10">
      <c r="A164" s="1">
        <v>44944</v>
      </c>
      <c r="B164">
        <v>170</v>
      </c>
      <c r="C164">
        <v>44.2</v>
      </c>
      <c r="D164" t="s">
        <v>15</v>
      </c>
      <c r="E164" t="s">
        <v>12</v>
      </c>
      <c r="F164" t="s">
        <v>13</v>
      </c>
      <c r="G164" t="s">
        <v>26</v>
      </c>
      <c r="H164" t="str">
        <f>TEXT(A164,"mmm")</f>
        <v>Jan</v>
      </c>
      <c r="I164">
        <f>MONTH(A164)</f>
        <v>1</v>
      </c>
      <c r="J164">
        <f>YEAR(A164)</f>
        <v>2023</v>
      </c>
    </row>
    <row r="165" spans="1:10">
      <c r="A165" s="1">
        <v>45009</v>
      </c>
      <c r="B165">
        <v>169</v>
      </c>
      <c r="C165">
        <v>21.97</v>
      </c>
      <c r="D165" t="s">
        <v>7</v>
      </c>
      <c r="E165" t="s">
        <v>22</v>
      </c>
      <c r="F165" t="s">
        <v>9</v>
      </c>
      <c r="G165" t="s">
        <v>31</v>
      </c>
      <c r="H165" t="str">
        <f>TEXT(A165,"mmm")</f>
        <v>Mar</v>
      </c>
      <c r="I165">
        <f>MONTH(A165)</f>
        <v>3</v>
      </c>
      <c r="J165">
        <f>YEAR(A165)</f>
        <v>2023</v>
      </c>
    </row>
    <row r="166" spans="1:10">
      <c r="A166" s="1">
        <v>45054</v>
      </c>
      <c r="B166">
        <v>169</v>
      </c>
      <c r="C166">
        <v>38.869999999999997</v>
      </c>
      <c r="D166" t="s">
        <v>11</v>
      </c>
      <c r="E166" t="s">
        <v>17</v>
      </c>
      <c r="F166" t="s">
        <v>13</v>
      </c>
      <c r="G166" t="s">
        <v>32</v>
      </c>
      <c r="H166" t="str">
        <f>TEXT(A166,"mmm")</f>
        <v>May</v>
      </c>
      <c r="I166">
        <f>MONTH(A166)</f>
        <v>5</v>
      </c>
      <c r="J166">
        <f>YEAR(A166)</f>
        <v>2023</v>
      </c>
    </row>
    <row r="167" spans="1:10">
      <c r="A167" s="1">
        <v>45287</v>
      </c>
      <c r="B167">
        <v>167</v>
      </c>
      <c r="C167">
        <v>41.75</v>
      </c>
      <c r="D167" t="s">
        <v>7</v>
      </c>
      <c r="E167" t="s">
        <v>8</v>
      </c>
      <c r="F167" t="s">
        <v>20</v>
      </c>
      <c r="G167" t="s">
        <v>32</v>
      </c>
      <c r="H167" t="str">
        <f>TEXT(A167,"mmm")</f>
        <v>Dec</v>
      </c>
      <c r="I167">
        <f>MONTH(A167)</f>
        <v>12</v>
      </c>
      <c r="J167">
        <f>YEAR(A167)</f>
        <v>2023</v>
      </c>
    </row>
    <row r="168" spans="1:10">
      <c r="A168" s="1">
        <v>44988</v>
      </c>
      <c r="B168">
        <v>165</v>
      </c>
      <c r="C168">
        <v>23.1</v>
      </c>
      <c r="D168" t="s">
        <v>7</v>
      </c>
      <c r="E168" t="s">
        <v>17</v>
      </c>
      <c r="F168" t="s">
        <v>24</v>
      </c>
      <c r="G168" t="s">
        <v>36</v>
      </c>
      <c r="H168" t="str">
        <f>TEXT(A168,"mmm")</f>
        <v>Mar</v>
      </c>
      <c r="I168">
        <f>MONTH(A168)</f>
        <v>3</v>
      </c>
      <c r="J168">
        <f>YEAR(A168)</f>
        <v>2023</v>
      </c>
    </row>
    <row r="169" spans="1:10">
      <c r="A169" s="1">
        <v>45183</v>
      </c>
      <c r="B169">
        <v>163</v>
      </c>
      <c r="C169">
        <v>30.97</v>
      </c>
      <c r="D169" t="s">
        <v>7</v>
      </c>
      <c r="E169" t="s">
        <v>28</v>
      </c>
      <c r="F169" t="s">
        <v>13</v>
      </c>
      <c r="G169" t="s">
        <v>26</v>
      </c>
      <c r="H169" t="str">
        <f>TEXT(A169,"mmm")</f>
        <v>Sep</v>
      </c>
      <c r="I169">
        <f>MONTH(A169)</f>
        <v>9</v>
      </c>
      <c r="J169">
        <f>YEAR(A169)</f>
        <v>2023</v>
      </c>
    </row>
    <row r="170" spans="1:10">
      <c r="A170" s="1">
        <v>44949</v>
      </c>
      <c r="B170">
        <v>162</v>
      </c>
      <c r="C170">
        <v>29.16</v>
      </c>
      <c r="D170" t="s">
        <v>11</v>
      </c>
      <c r="E170" t="s">
        <v>22</v>
      </c>
      <c r="F170" t="s">
        <v>20</v>
      </c>
      <c r="G170" t="s">
        <v>58</v>
      </c>
      <c r="H170" t="str">
        <f>TEXT(A170,"mmm")</f>
        <v>Jan</v>
      </c>
      <c r="I170">
        <f>MONTH(A170)</f>
        <v>1</v>
      </c>
      <c r="J170">
        <f>YEAR(A170)</f>
        <v>2023</v>
      </c>
    </row>
    <row r="171" spans="1:10">
      <c r="A171" s="1">
        <v>45153</v>
      </c>
      <c r="B171">
        <v>157</v>
      </c>
      <c r="C171">
        <v>47.1</v>
      </c>
      <c r="D171" t="s">
        <v>11</v>
      </c>
      <c r="E171" t="s">
        <v>28</v>
      </c>
      <c r="F171" t="s">
        <v>20</v>
      </c>
      <c r="G171" t="s">
        <v>39</v>
      </c>
      <c r="H171" t="str">
        <f>TEXT(A171,"mmm")</f>
        <v>Aug</v>
      </c>
      <c r="I171">
        <f>MONTH(A171)</f>
        <v>8</v>
      </c>
      <c r="J171">
        <f>YEAR(A171)</f>
        <v>2023</v>
      </c>
    </row>
    <row r="172" spans="1:10">
      <c r="A172" s="1">
        <v>45018</v>
      </c>
      <c r="B172">
        <v>154</v>
      </c>
      <c r="C172">
        <v>35.42</v>
      </c>
      <c r="D172" t="s">
        <v>15</v>
      </c>
      <c r="E172" t="s">
        <v>17</v>
      </c>
      <c r="F172" t="s">
        <v>9</v>
      </c>
      <c r="G172" t="s">
        <v>10</v>
      </c>
      <c r="H172" t="str">
        <f>TEXT(A172,"mmm")</f>
        <v>Apr</v>
      </c>
      <c r="I172">
        <f>MONTH(A172)</f>
        <v>4</v>
      </c>
      <c r="J172">
        <f>YEAR(A172)</f>
        <v>2023</v>
      </c>
    </row>
    <row r="173" spans="1:10">
      <c r="A173" s="1">
        <v>45126</v>
      </c>
      <c r="B173">
        <v>153</v>
      </c>
      <c r="C173">
        <v>30.6</v>
      </c>
      <c r="D173" t="s">
        <v>11</v>
      </c>
      <c r="E173" t="s">
        <v>28</v>
      </c>
      <c r="F173" t="s">
        <v>13</v>
      </c>
      <c r="G173" t="s">
        <v>18</v>
      </c>
      <c r="H173" t="str">
        <f>TEXT(A173,"mmm")</f>
        <v>Jul</v>
      </c>
      <c r="I173">
        <f>MONTH(A173)</f>
        <v>7</v>
      </c>
      <c r="J173">
        <f>YEAR(A173)</f>
        <v>2023</v>
      </c>
    </row>
    <row r="174" spans="1:10">
      <c r="A174" s="1">
        <v>45186</v>
      </c>
      <c r="B174">
        <v>152</v>
      </c>
      <c r="C174">
        <v>31.92</v>
      </c>
      <c r="D174" t="s">
        <v>15</v>
      </c>
      <c r="E174" t="s">
        <v>12</v>
      </c>
      <c r="F174" t="s">
        <v>9</v>
      </c>
      <c r="G174" t="s">
        <v>50</v>
      </c>
      <c r="H174" t="str">
        <f>TEXT(A174,"mmm")</f>
        <v>Sep</v>
      </c>
      <c r="I174">
        <f>MONTH(A174)</f>
        <v>9</v>
      </c>
      <c r="J174">
        <f>YEAR(A174)</f>
        <v>2023</v>
      </c>
    </row>
    <row r="175" spans="1:10">
      <c r="A175" s="1">
        <v>45269</v>
      </c>
      <c r="B175">
        <v>144</v>
      </c>
      <c r="C175">
        <v>23.04</v>
      </c>
      <c r="D175" t="s">
        <v>11</v>
      </c>
      <c r="E175" t="s">
        <v>17</v>
      </c>
      <c r="F175" t="s">
        <v>13</v>
      </c>
      <c r="G175" t="s">
        <v>59</v>
      </c>
      <c r="H175" t="str">
        <f>TEXT(A175,"mmm")</f>
        <v>Dec</v>
      </c>
      <c r="I175">
        <f>MONTH(A175)</f>
        <v>12</v>
      </c>
      <c r="J175">
        <f>YEAR(A175)</f>
        <v>2023</v>
      </c>
    </row>
    <row r="176" spans="1:10">
      <c r="A176" s="1">
        <v>45141</v>
      </c>
      <c r="B176">
        <v>140</v>
      </c>
      <c r="C176">
        <v>36.4</v>
      </c>
      <c r="D176" t="s">
        <v>15</v>
      </c>
      <c r="E176" t="s">
        <v>19</v>
      </c>
      <c r="F176" t="s">
        <v>24</v>
      </c>
      <c r="G176" t="s">
        <v>49</v>
      </c>
      <c r="H176" t="str">
        <f>TEXT(A176,"mmm")</f>
        <v>Aug</v>
      </c>
      <c r="I176">
        <f>MONTH(A176)</f>
        <v>8</v>
      </c>
      <c r="J176">
        <f>YEAR(A176)</f>
        <v>2023</v>
      </c>
    </row>
    <row r="177" spans="1:10">
      <c r="A177" s="1">
        <v>45130</v>
      </c>
      <c r="B177">
        <v>139</v>
      </c>
      <c r="C177">
        <v>40.31</v>
      </c>
      <c r="D177" t="s">
        <v>11</v>
      </c>
      <c r="E177" t="s">
        <v>12</v>
      </c>
      <c r="F177" t="s">
        <v>9</v>
      </c>
      <c r="G177" t="s">
        <v>29</v>
      </c>
      <c r="H177" t="str">
        <f>TEXT(A177,"mmm")</f>
        <v>Jul</v>
      </c>
      <c r="I177">
        <f>MONTH(A177)</f>
        <v>7</v>
      </c>
      <c r="J177">
        <f>YEAR(A177)</f>
        <v>2023</v>
      </c>
    </row>
    <row r="178" spans="1:10">
      <c r="A178" s="1">
        <v>45164</v>
      </c>
      <c r="B178">
        <v>134</v>
      </c>
      <c r="C178">
        <v>16.079999999999998</v>
      </c>
      <c r="D178" t="s">
        <v>7</v>
      </c>
      <c r="E178" t="s">
        <v>17</v>
      </c>
      <c r="F178" t="s">
        <v>9</v>
      </c>
      <c r="G178" t="s">
        <v>37</v>
      </c>
      <c r="H178" t="str">
        <f>TEXT(A178,"mmm")</f>
        <v>Aug</v>
      </c>
      <c r="I178">
        <f>MONTH(A178)</f>
        <v>8</v>
      </c>
      <c r="J178">
        <f>YEAR(A178)</f>
        <v>2023</v>
      </c>
    </row>
    <row r="179" spans="1:10">
      <c r="A179" s="1">
        <v>45057</v>
      </c>
      <c r="B179">
        <v>133</v>
      </c>
      <c r="C179">
        <v>39.9</v>
      </c>
      <c r="D179" t="s">
        <v>11</v>
      </c>
      <c r="E179" t="s">
        <v>8</v>
      </c>
      <c r="F179" t="s">
        <v>9</v>
      </c>
      <c r="G179" t="s">
        <v>33</v>
      </c>
      <c r="H179" t="str">
        <f>TEXT(A179,"mmm")</f>
        <v>May</v>
      </c>
      <c r="I179">
        <f>MONTH(A179)</f>
        <v>5</v>
      </c>
      <c r="J179">
        <f>YEAR(A179)</f>
        <v>2023</v>
      </c>
    </row>
    <row r="180" spans="1:10">
      <c r="A180" s="1">
        <v>45123</v>
      </c>
      <c r="B180">
        <v>131</v>
      </c>
      <c r="C180">
        <v>20.96</v>
      </c>
      <c r="D180" t="s">
        <v>11</v>
      </c>
      <c r="E180" t="s">
        <v>22</v>
      </c>
      <c r="F180" t="s">
        <v>9</v>
      </c>
      <c r="G180" t="s">
        <v>58</v>
      </c>
      <c r="H180" t="str">
        <f>TEXT(A180,"mmm")</f>
        <v>Jul</v>
      </c>
      <c r="I180">
        <f>MONTH(A180)</f>
        <v>7</v>
      </c>
      <c r="J180">
        <f>YEAR(A180)</f>
        <v>2023</v>
      </c>
    </row>
    <row r="181" spans="1:10">
      <c r="A181" s="1">
        <v>45010</v>
      </c>
      <c r="B181">
        <v>127</v>
      </c>
      <c r="C181">
        <v>22.86</v>
      </c>
      <c r="D181" t="s">
        <v>15</v>
      </c>
      <c r="E181" t="s">
        <v>28</v>
      </c>
      <c r="F181" t="s">
        <v>24</v>
      </c>
      <c r="G181" t="s">
        <v>27</v>
      </c>
      <c r="H181" t="str">
        <f>TEXT(A181,"mmm")</f>
        <v>Mar</v>
      </c>
      <c r="I181">
        <f>MONTH(A181)</f>
        <v>3</v>
      </c>
      <c r="J181">
        <f>YEAR(A181)</f>
        <v>2023</v>
      </c>
    </row>
    <row r="182" spans="1:10">
      <c r="A182" s="1">
        <v>45269</v>
      </c>
      <c r="B182">
        <v>127</v>
      </c>
      <c r="C182">
        <v>38.1</v>
      </c>
      <c r="D182" t="s">
        <v>7</v>
      </c>
      <c r="E182" t="s">
        <v>17</v>
      </c>
      <c r="F182" t="s">
        <v>20</v>
      </c>
      <c r="G182" t="s">
        <v>36</v>
      </c>
      <c r="H182" t="str">
        <f>TEXT(A182,"mmm")</f>
        <v>Dec</v>
      </c>
      <c r="I182">
        <f>MONTH(A182)</f>
        <v>12</v>
      </c>
      <c r="J182">
        <f>YEAR(A182)</f>
        <v>2023</v>
      </c>
    </row>
    <row r="183" spans="1:10">
      <c r="A183" s="1">
        <v>45212</v>
      </c>
      <c r="B183">
        <v>125</v>
      </c>
      <c r="C183">
        <v>32.5</v>
      </c>
      <c r="D183" t="s">
        <v>11</v>
      </c>
      <c r="E183" t="s">
        <v>8</v>
      </c>
      <c r="F183" t="s">
        <v>24</v>
      </c>
      <c r="G183" t="s">
        <v>38</v>
      </c>
      <c r="H183" t="str">
        <f>TEXT(A183,"mmm")</f>
        <v>Oct</v>
      </c>
      <c r="I183">
        <f>MONTH(A183)</f>
        <v>10</v>
      </c>
      <c r="J183">
        <f>YEAR(A183)</f>
        <v>2023</v>
      </c>
    </row>
    <row r="184" spans="1:10">
      <c r="A184" s="1">
        <v>45204</v>
      </c>
      <c r="B184">
        <v>123</v>
      </c>
      <c r="C184">
        <v>29.52</v>
      </c>
      <c r="D184" t="s">
        <v>11</v>
      </c>
      <c r="E184" t="s">
        <v>12</v>
      </c>
      <c r="F184" t="s">
        <v>24</v>
      </c>
      <c r="G184" t="s">
        <v>30</v>
      </c>
      <c r="H184" t="str">
        <f>TEXT(A184,"mmm")</f>
        <v>Oct</v>
      </c>
      <c r="I184">
        <f>MONTH(A184)</f>
        <v>10</v>
      </c>
      <c r="J184">
        <f>YEAR(A184)</f>
        <v>2023</v>
      </c>
    </row>
    <row r="185" spans="1:10">
      <c r="A185" s="1">
        <v>44970</v>
      </c>
      <c r="B185">
        <v>122</v>
      </c>
      <c r="C185">
        <v>34.159999999999997</v>
      </c>
      <c r="D185" t="s">
        <v>15</v>
      </c>
      <c r="E185" t="s">
        <v>8</v>
      </c>
      <c r="F185" t="s">
        <v>9</v>
      </c>
      <c r="G185" t="s">
        <v>68</v>
      </c>
      <c r="H185" t="str">
        <f>TEXT(A185,"mmm")</f>
        <v>Feb</v>
      </c>
      <c r="I185">
        <f>MONTH(A185)</f>
        <v>2</v>
      </c>
      <c r="J185">
        <f>YEAR(A185)</f>
        <v>2023</v>
      </c>
    </row>
    <row r="186" spans="1:10">
      <c r="A186" s="1">
        <v>45148</v>
      </c>
      <c r="B186">
        <v>122</v>
      </c>
      <c r="C186">
        <v>34.159999999999997</v>
      </c>
      <c r="D186" t="s">
        <v>7</v>
      </c>
      <c r="E186" t="s">
        <v>8</v>
      </c>
      <c r="F186" t="s">
        <v>9</v>
      </c>
      <c r="G186" t="s">
        <v>10</v>
      </c>
      <c r="H186" t="str">
        <f>TEXT(A186,"mmm")</f>
        <v>Aug</v>
      </c>
      <c r="I186">
        <f>MONTH(A186)</f>
        <v>8</v>
      </c>
      <c r="J186">
        <f>YEAR(A186)</f>
        <v>2023</v>
      </c>
    </row>
    <row r="187" spans="1:10">
      <c r="A187" s="1">
        <v>45216</v>
      </c>
      <c r="B187">
        <v>119</v>
      </c>
      <c r="C187">
        <v>11.9</v>
      </c>
      <c r="D187" t="s">
        <v>11</v>
      </c>
      <c r="E187" t="s">
        <v>22</v>
      </c>
      <c r="F187" t="s">
        <v>20</v>
      </c>
      <c r="G187" t="s">
        <v>65</v>
      </c>
      <c r="H187" t="str">
        <f>TEXT(A187,"mmm")</f>
        <v>Oct</v>
      </c>
      <c r="I187">
        <f>MONTH(A187)</f>
        <v>10</v>
      </c>
      <c r="J187">
        <f>YEAR(A187)</f>
        <v>2023</v>
      </c>
    </row>
    <row r="188" spans="1:10">
      <c r="A188" s="1">
        <v>45105</v>
      </c>
      <c r="B188">
        <v>117</v>
      </c>
      <c r="C188">
        <v>18.72</v>
      </c>
      <c r="D188" t="s">
        <v>15</v>
      </c>
      <c r="E188" t="s">
        <v>8</v>
      </c>
      <c r="F188" t="s">
        <v>9</v>
      </c>
      <c r="G188" t="s">
        <v>27</v>
      </c>
      <c r="H188" t="str">
        <f>TEXT(A188,"mmm")</f>
        <v>Jun</v>
      </c>
      <c r="I188">
        <f>MONTH(A188)</f>
        <v>6</v>
      </c>
      <c r="J188">
        <f>YEAR(A188)</f>
        <v>2023</v>
      </c>
    </row>
    <row r="189" spans="1:10">
      <c r="A189" s="1">
        <v>44966</v>
      </c>
      <c r="B189">
        <v>115</v>
      </c>
      <c r="C189">
        <v>32.200000000000003</v>
      </c>
      <c r="D189" t="s">
        <v>15</v>
      </c>
      <c r="E189" t="s">
        <v>22</v>
      </c>
      <c r="F189" t="s">
        <v>9</v>
      </c>
      <c r="G189" t="s">
        <v>29</v>
      </c>
      <c r="H189" t="str">
        <f>TEXT(A189,"mmm")</f>
        <v>Feb</v>
      </c>
      <c r="I189">
        <f>MONTH(A189)</f>
        <v>2</v>
      </c>
      <c r="J189">
        <f>YEAR(A189)</f>
        <v>2023</v>
      </c>
    </row>
    <row r="190" spans="1:10">
      <c r="A190" s="1">
        <v>44978</v>
      </c>
      <c r="B190">
        <v>113</v>
      </c>
      <c r="C190">
        <v>18.079999999999998</v>
      </c>
      <c r="D190" t="s">
        <v>11</v>
      </c>
      <c r="E190" t="s">
        <v>17</v>
      </c>
      <c r="F190" t="s">
        <v>9</v>
      </c>
      <c r="G190" t="s">
        <v>30</v>
      </c>
      <c r="H190" t="str">
        <f>TEXT(A190,"mmm")</f>
        <v>Feb</v>
      </c>
      <c r="I190">
        <f>MONTH(A190)</f>
        <v>2</v>
      </c>
      <c r="J190">
        <f>YEAR(A190)</f>
        <v>2023</v>
      </c>
    </row>
    <row r="191" spans="1:10">
      <c r="A191" s="1">
        <v>45207</v>
      </c>
      <c r="B191">
        <v>112</v>
      </c>
      <c r="C191">
        <v>32.479999999999997</v>
      </c>
      <c r="D191" t="s">
        <v>15</v>
      </c>
      <c r="E191" t="s">
        <v>17</v>
      </c>
      <c r="F191" t="s">
        <v>24</v>
      </c>
      <c r="G191" t="s">
        <v>33</v>
      </c>
      <c r="H191" t="str">
        <f>TEXT(A191,"mmm")</f>
        <v>Oct</v>
      </c>
      <c r="I191">
        <f>MONTH(A191)</f>
        <v>10</v>
      </c>
      <c r="J191">
        <f>YEAR(A191)</f>
        <v>2023</v>
      </c>
    </row>
    <row r="192" spans="1:10">
      <c r="A192" s="1">
        <v>45025</v>
      </c>
      <c r="B192">
        <v>111</v>
      </c>
      <c r="C192">
        <v>21.09</v>
      </c>
      <c r="D192" t="s">
        <v>15</v>
      </c>
      <c r="E192" t="s">
        <v>17</v>
      </c>
      <c r="F192" t="s">
        <v>13</v>
      </c>
      <c r="G192" t="s">
        <v>16</v>
      </c>
      <c r="H192" t="str">
        <f>TEXT(A192,"mmm")</f>
        <v>Apr</v>
      </c>
      <c r="I192">
        <f>MONTH(A192)</f>
        <v>4</v>
      </c>
      <c r="J192">
        <f>YEAR(A192)</f>
        <v>2023</v>
      </c>
    </row>
    <row r="193" spans="1:10">
      <c r="A193" s="1">
        <v>45172</v>
      </c>
      <c r="B193">
        <v>110</v>
      </c>
      <c r="C193">
        <v>33</v>
      </c>
      <c r="D193" t="s">
        <v>11</v>
      </c>
      <c r="E193" t="s">
        <v>22</v>
      </c>
      <c r="F193" t="s">
        <v>13</v>
      </c>
      <c r="G193" t="s">
        <v>59</v>
      </c>
      <c r="H193" t="str">
        <f>TEXT(A193,"mmm")</f>
        <v>Sep</v>
      </c>
      <c r="I193">
        <f>MONTH(A193)</f>
        <v>9</v>
      </c>
      <c r="J193">
        <f>YEAR(A193)</f>
        <v>2023</v>
      </c>
    </row>
    <row r="194" spans="1:10">
      <c r="A194" s="1">
        <v>44958</v>
      </c>
      <c r="B194">
        <v>110</v>
      </c>
      <c r="C194">
        <v>14.3</v>
      </c>
      <c r="D194" t="s">
        <v>7</v>
      </c>
      <c r="E194" t="s">
        <v>19</v>
      </c>
      <c r="F194" t="s">
        <v>9</v>
      </c>
      <c r="G194" t="s">
        <v>25</v>
      </c>
      <c r="H194" t="str">
        <f>TEXT(A194,"mmm")</f>
        <v>Feb</v>
      </c>
      <c r="I194">
        <f>MONTH(A194)</f>
        <v>2</v>
      </c>
      <c r="J194">
        <f>YEAR(A194)</f>
        <v>2023</v>
      </c>
    </row>
    <row r="195" spans="1:10">
      <c r="A195" s="1">
        <v>45007</v>
      </c>
      <c r="B195">
        <v>108</v>
      </c>
      <c r="C195">
        <v>21.6</v>
      </c>
      <c r="D195" t="s">
        <v>11</v>
      </c>
      <c r="E195" t="s">
        <v>22</v>
      </c>
      <c r="F195" t="s">
        <v>13</v>
      </c>
      <c r="G195" t="s">
        <v>64</v>
      </c>
      <c r="H195" t="str">
        <f>TEXT(A195,"mmm")</f>
        <v>Mar</v>
      </c>
      <c r="I195">
        <f>MONTH(A195)</f>
        <v>3</v>
      </c>
      <c r="J195">
        <f>YEAR(A195)</f>
        <v>2023</v>
      </c>
    </row>
    <row r="196" spans="1:10">
      <c r="A196" s="1">
        <v>44939</v>
      </c>
      <c r="B196">
        <v>107</v>
      </c>
      <c r="C196">
        <v>27.82</v>
      </c>
      <c r="D196" t="s">
        <v>7</v>
      </c>
      <c r="E196" t="s">
        <v>22</v>
      </c>
      <c r="F196" t="s">
        <v>20</v>
      </c>
      <c r="G196" t="s">
        <v>37</v>
      </c>
      <c r="H196" t="str">
        <f>TEXT(A196,"mmm")</f>
        <v>Jan</v>
      </c>
      <c r="I196">
        <f>MONTH(A196)</f>
        <v>1</v>
      </c>
      <c r="J196">
        <f>YEAR(A196)</f>
        <v>2023</v>
      </c>
    </row>
    <row r="197" spans="1:10">
      <c r="A197" s="1">
        <v>45241</v>
      </c>
      <c r="B197">
        <v>105</v>
      </c>
      <c r="C197">
        <v>13.65</v>
      </c>
      <c r="D197" t="s">
        <v>15</v>
      </c>
      <c r="E197" t="s">
        <v>22</v>
      </c>
      <c r="F197" t="s">
        <v>13</v>
      </c>
      <c r="G197" t="s">
        <v>26</v>
      </c>
      <c r="H197" t="str">
        <f>TEXT(A197,"mmm")</f>
        <v>Nov</v>
      </c>
      <c r="I197">
        <f>MONTH(A197)</f>
        <v>11</v>
      </c>
      <c r="J197">
        <f>YEAR(A197)</f>
        <v>2023</v>
      </c>
    </row>
    <row r="198" spans="1:10">
      <c r="A198" s="1">
        <v>45249</v>
      </c>
      <c r="B198">
        <v>105</v>
      </c>
      <c r="C198">
        <v>27.3</v>
      </c>
      <c r="D198" t="s">
        <v>7</v>
      </c>
      <c r="E198" t="s">
        <v>28</v>
      </c>
      <c r="F198" t="s">
        <v>9</v>
      </c>
      <c r="G198" t="s">
        <v>64</v>
      </c>
      <c r="H198" t="str">
        <f>TEXT(A198,"mmm")</f>
        <v>Nov</v>
      </c>
      <c r="I198">
        <f>MONTH(A198)</f>
        <v>11</v>
      </c>
      <c r="J198">
        <f>YEAR(A198)</f>
        <v>2023</v>
      </c>
    </row>
    <row r="199" spans="1:10">
      <c r="A199" s="1">
        <v>45220</v>
      </c>
      <c r="B199">
        <v>102</v>
      </c>
      <c r="C199">
        <v>15.3</v>
      </c>
      <c r="D199" t="s">
        <v>7</v>
      </c>
      <c r="E199" t="s">
        <v>22</v>
      </c>
      <c r="F199" t="s">
        <v>24</v>
      </c>
      <c r="G199" t="s">
        <v>44</v>
      </c>
      <c r="H199" t="str">
        <f>TEXT(A199,"mmm")</f>
        <v>Oct</v>
      </c>
      <c r="I199">
        <f>MONTH(A199)</f>
        <v>10</v>
      </c>
      <c r="J199">
        <f>YEAR(A199)</f>
        <v>2023</v>
      </c>
    </row>
    <row r="200" spans="1:10">
      <c r="A200" s="1">
        <v>44995</v>
      </c>
      <c r="B200">
        <v>100</v>
      </c>
      <c r="C200">
        <v>27</v>
      </c>
      <c r="D200" t="s">
        <v>11</v>
      </c>
      <c r="E200" t="s">
        <v>12</v>
      </c>
      <c r="F200" t="s">
        <v>13</v>
      </c>
      <c r="G200" t="s">
        <v>14</v>
      </c>
      <c r="H200" t="str">
        <f>TEXT(A200,"mmm")</f>
        <v>Mar</v>
      </c>
      <c r="I200">
        <f>MONTH(A200)</f>
        <v>3</v>
      </c>
      <c r="J200">
        <f>YEAR(A200)</f>
        <v>2023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D2:J58"/>
  <sheetViews>
    <sheetView tabSelected="1" topLeftCell="A67" workbookViewId="0">
      <selection activeCell="J59" sqref="J59"/>
    </sheetView>
  </sheetViews>
  <sheetFormatPr defaultRowHeight="14.4"/>
  <cols>
    <col min="4" max="5" width="9.88671875" bestFit="1" customWidth="1"/>
  </cols>
  <sheetData>
    <row r="2" spans="4:10">
      <c r="E2" s="6" t="s">
        <v>85</v>
      </c>
    </row>
    <row r="3" spans="4:10">
      <c r="D3" s="3"/>
      <c r="E3">
        <v>57939</v>
      </c>
    </row>
    <row r="7" spans="4:10">
      <c r="J7" t="s">
        <v>88</v>
      </c>
    </row>
    <row r="26" spans="10:10">
      <c r="J26" t="s">
        <v>89</v>
      </c>
    </row>
    <row r="42" spans="10:10">
      <c r="J42" t="s">
        <v>90</v>
      </c>
    </row>
    <row r="58" spans="10:10">
      <c r="J58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Sales</vt:lpstr>
      <vt:lpstr>Region-wise Sales</vt:lpstr>
      <vt:lpstr>Sales by Category</vt:lpstr>
      <vt:lpstr>Monthly Sales Trend</vt:lpstr>
      <vt:lpstr>Sales by Sub-Category</vt:lpstr>
      <vt:lpstr>DataSet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2026-04-10T07:53:57Z</cp:lastPrinted>
  <dcterms:created xsi:type="dcterms:W3CDTF">2026-04-10T07:08:18Z</dcterms:created>
  <dcterms:modified xsi:type="dcterms:W3CDTF">2026-04-10T08:07:57Z</dcterms:modified>
</cp:coreProperties>
</file>